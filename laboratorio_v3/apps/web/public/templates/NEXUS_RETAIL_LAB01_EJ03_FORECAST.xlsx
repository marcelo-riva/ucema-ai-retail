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STRUCCIONES" sheetId="1" state="visible" r:id="rId3"/>
    <sheet name="01_CASO_NEGOCIO" sheetId="2" state="visible" r:id="rId4"/>
    <sheet name="02_DICCIONARIO_DATOS" sheetId="3" state="visible" r:id="rId5"/>
    <sheet name="03_SEÑALES_EXTERNAS" sheetId="4" state="visible" r:id="rId6"/>
    <sheet name="04_DATASET_VENTAS" sheetId="5" state="visible" r:id="rId7"/>
    <sheet name="05_STOCK_Y_FORECAST" sheetId="6" state="visible" r:id="rId8"/>
    <sheet name="15_LI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<sst xmlns="http://schemas.openxmlformats.org/spreadsheetml/2006/main" count="339" uniqueCount="207">
  <si>
    <t xml:space="preserve">NEXUS RETAIL — LABORATORIO 1: EJERCICIO 3 · FORECAST ENGINE</t>
  </si>
  <si>
    <t xml:space="preserve">⚠ Este es un workbook NUEVO — no es continuación del workbook de Pricing (Ejercicio 2) ni un recorte del portfolio de 8.000 SKUs. Es un archivo aparte, armado con 10 productos elegidos a propósito para este ejercicio.</t>
  </si>
  <si>
    <t xml:space="preserve">Este workbook es el espacio de trabajo numérico del grupo para el Ejercicio 3 — Forecast Engine.</t>
  </si>
  <si>
    <t xml:space="preserve">Las consignas, las preguntas de debate y los prompts para tu IA están en el laboratorio, en la plataforma. Este archivo tiene los datos y las celdas donde volcás lo que resolvés con tu IA.</t>
  </si>
  <si>
    <t xml:space="preserve">No copies en la plataforma toda la información línea por línea: llevá solo lo que defenderías frente a un equipo comercial.</t>
  </si>
  <si>
    <t xml:space="preserve">¿Qué hay en este workbook?</t>
  </si>
  <si>
    <t xml:space="preserve">• Señales externas: búsquedas simuladas, temperatura, movimientos de competencia.</t>
  </si>
  <si>
    <t xml:space="preserve">• Dataset de ventas de 10 productos, con distinta cantidad de historia cada uno.</t>
  </si>
  <si>
    <t xml:space="preserve">• Stock actual y celdas para completar el forecast semanal a 90 días.</t>
  </si>
  <si>
    <t xml:space="preserve">• Una decisión de precio conocida y celdas para completar el forecast ajustado.</t>
  </si>
  <si>
    <t xml:space="preserve">Leyenda de celdas</t>
  </si>
  <si>
    <t xml:space="preserve">Celdas editables por el alumno</t>
  </si>
  <si>
    <t xml:space="preserve">Fondo amarillo suave. Pegá acá el resultado de tu IA.</t>
  </si>
  <si>
    <t xml:space="preserve">Datos de referencia / no editar</t>
  </si>
  <si>
    <t xml:space="preserve">Fondo azul suave. Dataset provisto por NEXUS.</t>
  </si>
  <si>
    <t xml:space="preserve">Cálculos automáticos</t>
  </si>
  <si>
    <t xml:space="preserve">Fondo gris claro. No editar.</t>
  </si>
  <si>
    <t xml:space="preserve">NEXUS RETAIL — CASO DE NEGOCIO · EJERCICIO 3</t>
  </si>
  <si>
    <t xml:space="preserve">Nota sobre este workbook</t>
  </si>
  <si>
    <t xml:space="preserve">Este archivo es independiente del workbook de Pricing usado en el Ejercicio 2. Contiene un set chico de 10 productos elegidos especialmente para trabajar detección de estacionalidad y forecast — no es un recorte del portfolio completo de 8.000 SKUs.</t>
  </si>
  <si>
    <t xml:space="preserve">Situación de negocio</t>
  </si>
  <si>
    <t xml:space="preserve">Nexus Retail necesita anticipar demanda para 10 productos de su portfolio de salud y belleza, con historial mensual de entre 12 y 36 meses, antes de tomar decisiones de compra.</t>
  </si>
  <si>
    <t xml:space="preserve">Desafío</t>
  </si>
  <si>
    <t xml:space="preserve">Detectar estacionalidad y anomalías con IA, incorporar señales externas (búsquedas, temperatura, movimientos de competencia) e internas (precio) y construir un forecast semanal a 90 días que sea reproducible — no una caja negra.</t>
  </si>
  <si>
    <t xml:space="preserve">Dinámica</t>
  </si>
  <si>
    <t xml:space="preserve">El grupo primero interpreta señales externas del mercado, después arma un forecast semanal reproducible con IA para los productos con stock, y cierra evaluando cómo una decisión propia de precio también mueve la demanda. La secuencia de trabajo y las consignas de cada paso están en el laboratorio, en la plataforma.</t>
  </si>
  <si>
    <t xml:space="preserve">Rol de la AI personal</t>
  </si>
  <si>
    <t xml:space="preserve">Detectar patrones, correlacionar señales, generar el forecast con metodología documentada y reproducible. La decisión de a quién creerle es del equipo.</t>
  </si>
  <si>
    <t xml:space="preserve">Horizonte</t>
  </si>
  <si>
    <t xml:space="preserve">Las series terminan en el mes M36 (o el último mes disponible según el producto). El forecast proyecta 90 días (13 semanas) hacia adelante desde ese punto.</t>
  </si>
  <si>
    <t xml:space="preserve">Mapa de hojas del workbook</t>
  </si>
  <si>
    <t xml:space="preserve">Hoja</t>
  </si>
  <si>
    <t xml:space="preserve">Uso</t>
  </si>
  <si>
    <t xml:space="preserve">03_SEÑALES_EXTERNAS</t>
  </si>
  <si>
    <t xml:space="preserve">Google Trends simulado, temperatura BA, movimientos de competencia.</t>
  </si>
  <si>
    <t xml:space="preserve">04_DATASET_VENTAS</t>
  </si>
  <si>
    <t xml:space="preserve">Serie histórica mensual de los 10 productos.</t>
  </si>
  <si>
    <t xml:space="preserve">05_STOCK_Y_FORECAST</t>
  </si>
  <si>
    <t xml:space="preserve">Stock actual + hoja de trabajo para forecast semanal a 90 días, quiebre de stock, y forecast ajustado por una decisión de precio.</t>
  </si>
  <si>
    <t xml:space="preserve">DICCIONARIO DE DATOS</t>
  </si>
  <si>
    <t xml:space="preserve">Campo / concepto</t>
  </si>
  <si>
    <t xml:space="preserve">Dónde aparece</t>
  </si>
  <si>
    <t xml:space="preserve">Significado</t>
  </si>
  <si>
    <t xml:space="preserve">Cómo usarlo</t>
  </si>
  <si>
    <t xml:space="preserve">vol_m01 .. vol_m36</t>
  </si>
  <si>
    <t xml:space="preserve">Unidades vendidas por mes (mes 1 = inicio de la serie disponible para ese producto).</t>
  </si>
  <si>
    <t xml:space="preserve">Los productos con menos de 36 meses de historia tienen celdas vacías al inicio — la serie está alineada a la derecha, terminando siempre en el mes más reciente.</t>
  </si>
  <si>
    <t xml:space="preserve">meses_historia</t>
  </si>
  <si>
    <t xml:space="preserve">Cantidad de meses de historial disponible para ese producto.</t>
  </si>
  <si>
    <t xml:space="preserve">Define cuántas columnas vol_m.. tienen datos.</t>
  </si>
  <si>
    <t xml:space="preserve">Búsqueda Roja / Azul / Verde</t>
  </si>
  <si>
    <t xml:space="preserve">Índice de búsquedas simulado (0-100, estilo Google Trends), sin etiquetar a propósito.</t>
  </si>
  <si>
    <t xml:space="preserve">Correlacionalo con el dataset de ventas para identificar a qué producto corresponde cada serie.</t>
  </si>
  <si>
    <t xml:space="preserve">Temperatura promedio (°C)</t>
  </si>
  <si>
    <t xml:space="preserve">Temperatura promedio mensual en Buenos Aires, incluye anomalías (olas de calor fuera de temporada).</t>
  </si>
  <si>
    <t xml:space="preserve">Usala para explicar picos de demanda en categorías sensibles al clima.</t>
  </si>
  <si>
    <t xml:space="preserve">Log de competencia</t>
  </si>
  <si>
    <t xml:space="preserve">Eventos de mercado relevantes: promociones y movimientos de precio de la competencia.</t>
  </si>
  <si>
    <t xml:space="preserve">Cada evento tiene un mes asociado — cruzalo con el dataset para ver el efecto en la demanda.</t>
  </si>
  <si>
    <t xml:space="preserve">stock_actual_unidades</t>
  </si>
  <si>
    <t xml:space="preserve">Stock disponible al cierre del último mes histórico, para los 3 productos seleccionados.</t>
  </si>
  <si>
    <t xml:space="preserve">Es el punto de partida para proyectar cuándo se produce un quiebre.</t>
  </si>
  <si>
    <t xml:space="preserve">SEÑALES EXTERNAS — ACTO 1 (sin dataset de ventas todavía)</t>
  </si>
  <si>
    <t xml:space="preserve">Antes de ver el dataset de ventas: ¿qué producto de una cadena de salud y belleza esperarías que se mueva con cada señal? Debatan en grupo 2 minutos.</t>
  </si>
  <si>
    <t xml:space="preserve">Google Trends simulado (índice 0–100, series sin etiquetar)</t>
  </si>
  <si>
    <t xml:space="preserve">Mes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</si>
  <si>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</si>
  <si>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</si>
  <si>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</si>
  <si>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</si>
  <si>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</si>
  <si>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</si>
  <si>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</si>
  <si>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</si>
  <si>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</si>
  <si>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</si>
  <si>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</si>
  <si>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</si>
  <si>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</si>
  <si>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</si>
  <si>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</si>
  <si>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</si>
  <si>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</si>
  <si>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</si>
  <si>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</si>
  <si>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</si>
  <si>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</si>
  <si>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</si>
  <si>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</si>
  <si>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</si>
  <si>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</si>
  <si>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</si>
  <si>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</si>
  <si>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</si>
  <si>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</si>
  <si>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</si>
  <si>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</si>
  <si>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</si>
  <si>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</si>
  <si>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</si>
  <si>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</si>
  <si>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</si>
  <si>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Búsqueda Roja</t>
  </si>
  <si>
    <t xml:space="preserve">Búsqueda Azul</t>
  </si>
  <si>
    <t xml:space="preserve">Búsqueda Verde</t>
  </si>
  <si>
    <t xml:space="preserve">Temperatura promedio mensual — Buenos Aires (°C)</t>
  </si>
  <si>
    <t xml:space="preserve">Temperatura (°C)</t>
  </si>
  <si>
    <t xml:space="preserve">Nota: hay dos olas de calor fuera de temporada en la serie — identificalas por el salto respecto del mes equivalente de otros años.</t>
  </si>
  <si>
    <t xml:space="preserve">Log de movimientos de competencia</t>
  </si>
  <si>
    <t xml:space="preserve">Mes (M##)</t>
  </si>
  <si>
    <t xml:space="preserve">Evento</t>
  </si>
  <si>
    <t xml:space="preserve">Competidor lanza promoción 2x1 en protector solar FPS 30 (categoría de menor FPS).</t>
  </si>
  <si>
    <t xml:space="preserve">Competidor baja 20% el precio de lista en shampoo anticaspa.</t>
  </si>
  <si>
    <t xml:space="preserve">Rotura de stock generalizada en la competencia para repelentes de insectos.</t>
  </si>
  <si>
    <t xml:space="preserve">DATASET DE VENTAS — 10 PRODUCTOS (unidades vendidas por mes)</t>
  </si>
  <si>
    <t xml:space="preserve">Producto</t>
  </si>
  <si>
    <t xml:space="preserve">Categoría</t>
  </si>
  <si>
    <t xml:space="preserve">Meses de historia</t>
  </si>
  <si>
    <t xml:space="preserve">vol_m01</t>
  </si>
  <si>
    <t xml:space="preserve">vol_m02</t>
  </si>
  <si>
    <t xml:space="preserve">vol_m03</t>
  </si>
  <si>
    <t xml:space="preserve">vol_m04</t>
  </si>
  <si>
    <t xml:space="preserve">vol_m05</t>
  </si>
  <si>
    <t xml:space="preserve">vol_m06</t>
  </si>
  <si>
    <t xml:space="preserve">vol_m07</t>
  </si>
  <si>
    <t xml:space="preserve">vol_m08</t>
  </si>
  <si>
    <t xml:space="preserve">vol_m09</t>
  </si>
  <si>
    <t xml:space="preserve">vol_m10</t>
  </si>
  <si>
    <t xml:space="preserve">vol_m11</t>
  </si>
  <si>
    <t xml:space="preserve">vol_m12</t>
  </si>
  <si>
    <t xml:space="preserve">vol_m13</t>
  </si>
  <si>
    <t xml:space="preserve">vol_m14</t>
  </si>
  <si>
    <t xml:space="preserve">vol_m15</t>
  </si>
  <si>
    <t xml:space="preserve">vol_m16</t>
  </si>
  <si>
    <t xml:space="preserve">vol_m17</t>
  </si>
  <si>
    <t xml:space="preserve">vol_m18</t>
  </si>
  <si>
    <t xml:space="preserve">vol_m19</t>
  </si>
  <si>
    <t xml:space="preserve">vol_m20</t>
  </si>
  <si>
    <t xml:space="preserve">vol_m21</t>
  </si>
  <si>
    <t xml:space="preserve">vol_m22</t>
  </si>
  <si>
    <t xml:space="preserve">vol_m23</t>
  </si>
  <si>
    <t xml:space="preserve">vol_m24</t>
  </si>
  <si>
    <t xml:space="preserve">vol_m25</t>
  </si>
  <si>
    <t xml:space="preserve">vol_m26</t>
  </si>
  <si>
    <t xml:space="preserve">vol_m27</t>
  </si>
  <si>
    <t xml:space="preserve">vol_m28</t>
  </si>
  <si>
    <t xml:space="preserve">vol_m29</t>
  </si>
  <si>
    <t xml:space="preserve">vol_m30</t>
  </si>
  <si>
    <t xml:space="preserve">vol_m31</t>
  </si>
  <si>
    <t xml:space="preserve">vol_m32</t>
  </si>
  <si>
    <t xml:space="preserve">vol_m33</t>
  </si>
  <si>
    <t xml:space="preserve">vol_m34</t>
  </si>
  <si>
    <t xml:space="preserve">vol_m35</t>
  </si>
  <si>
    <t xml:space="preserve">vol_m36</t>
  </si>
  <si>
    <t xml:space="preserve">Repelente de insectos</t>
  </si>
  <si>
    <t xml:space="preserve">Cuidado Personal / Estacional</t>
  </si>
  <si>
    <t xml:space="preserve">Protector solar FPS 50</t>
  </si>
  <si>
    <t xml:space="preserve">Vitamina C efervescente</t>
  </si>
  <si>
    <t xml:space="preserve">Salud / OTC</t>
  </si>
  <si>
    <t xml:space="preserve">Shampoo anticaspa</t>
  </si>
  <si>
    <t xml:space="preserve">Cuidado Personal / Capilar</t>
  </si>
  <si>
    <t xml:space="preserve">Bloqueador labial</t>
  </si>
  <si>
    <t xml:space="preserve">Bebida isotónica</t>
  </si>
  <si>
    <t xml:space="preserve">Bebidas / Nutrición</t>
  </si>
  <si>
    <t xml:space="preserve">Antihistamínico OTC</t>
  </si>
  <si>
    <t xml:space="preserve">Crema hidratante corporal</t>
  </si>
  <si>
    <t xml:space="preserve">Cuidado Personal</t>
  </si>
  <si>
    <t xml:space="preserve">Repelente eléctrico enchufable</t>
  </si>
  <si>
    <t xml:space="preserve">Protector solar FPS 30</t>
  </si>
  <si>
    <t xml:space="preserve">STOCK ACTUAL + FORECAST SEMANAL A 90 DÍAS</t>
  </si>
  <si>
    <t xml:space="preserve">Las consignas y los prompts de este bloque están en el laboratorio, en la plataforma. Acá encontrás los datos y las celdas para completar con el resultado de tu IA.</t>
  </si>
  <si>
    <t xml:space="preserve">Stock disponible actual (cierre del último mes histórico)</t>
  </si>
  <si>
    <t xml:space="preserve">Último mes con historia</t>
  </si>
  <si>
    <t xml:space="preserve">Ventas último mes (u.)</t>
  </si>
  <si>
    <t xml:space="preserve">Stock actual (u.)</t>
  </si>
  <si>
    <t xml:space="preserve">Situación</t>
  </si>
  <si>
    <t xml:space="preserve">Stock ajustado entrando a temporada alta</t>
  </si>
  <si>
    <t xml:space="preserve">Stock amplio, situación aparentemente cómoda</t>
  </si>
  <si>
    <t xml:space="preserve">Sobrestock de un producto en tendencia decreciente</t>
  </si>
  <si>
    <t xml:space="preserve">Forecast semanal — próximos 90 días (13 semanas) · completar con el resultado de tu IA</t>
  </si>
  <si>
    <t xml:space="preserve">Semana</t>
  </si>
  <si>
    <t xml:space="preserve">Forecast demanda (u.)</t>
  </si>
  <si>
    <t xml:space="preserve">Nivel de confianza</t>
  </si>
  <si>
    <t xml:space="preserve">Stock proyectado (u.)</t>
  </si>
  <si>
    <t xml:space="preserve">Alerta</t>
  </si>
  <si>
    <t xml:space="preserve">Método utilizado (resumen)</t>
  </si>
  <si>
    <t xml:space="preserve">Alerta ejecutiva por producto (una línea, mayor riesgo próximos 90 días)</t>
  </si>
  <si>
    <t xml:space="preserve">DECISIÓN DE PRECIO CONOCIDA (perturbación del forecast)</t>
  </si>
  <si>
    <t xml:space="preserve">Decisión de pricing aplicada (mismo lenguaje del workbook de Pricing)</t>
  </si>
  <si>
    <t xml:space="preserve">Decisión</t>
  </si>
  <si>
    <t xml:space="preserve">price_move_pct</t>
  </si>
  <si>
    <t xml:space="preserve">elasticity_proxy</t>
  </si>
  <si>
    <t xml:space="preserve">Efecto de volumen esperado</t>
  </si>
  <si>
    <t xml:space="preserve">Liquidación</t>
  </si>
  <si>
    <t xml:space="preserve">Premium</t>
  </si>
  <si>
    <t xml:space="preserve">Forecast semanal ajustado por la decisión de precio · completar con el resultado de tu IA</t>
  </si>
  <si>
    <t xml:space="preserve">Forecast ajustado (u.)</t>
  </si>
  <si>
    <t xml:space="preserve">vs. forecast original (sin ajuste)</t>
  </si>
  <si>
    <t xml:space="preserve">Nota</t>
  </si>
  <si>
    <t xml:space="preserve">alerta</t>
  </si>
  <si>
    <t xml:space="preserve">nivel_confianza</t>
  </si>
  <si>
    <t xml:space="preserve">OK</t>
  </si>
  <si>
    <t xml:space="preserve">Alta</t>
  </si>
  <si>
    <t xml:space="preserve">Riesgo de quiebre</t>
  </si>
  <si>
    <t xml:space="preserve">Media</t>
  </si>
  <si>
    <t xml:space="preserve">Riesgo de sobrestock</t>
  </si>
  <si>
    <t xml:space="preserve">Baja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</si>
</sst>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A15C0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57269"/>
      <name val="Arial"/>
      <family val="0"/>
      <charset val="1"/>
    </font>
    <font>
      <i val="true"/>
      <sz val="9"/>
      <color rgb="FF65726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8483F"/>
        <bgColor rgb="FF333333"/>
      </patternFill>
    </fill>
    <fill>
      <patternFill patternType="solid">
        <fgColor rgb="FFFDF1DE"/>
        <bgColor rgb="FFFFF6D9"/>
      </patternFill>
    </fill>
    <fill>
      <patternFill patternType="solid">
        <fgColor rgb="FFFFF6D9"/>
        <bgColor rgb="FFFDF1DE"/>
      </patternFill>
    </fill>
    <fill>
      <patternFill patternType="solid">
        <fgColor rgb="FFE4EEF7"/>
        <bgColor rgb="FFEDF2EE"/>
      </patternFill>
    </fill>
    <fill>
      <patternFill patternType="solid">
        <fgColor rgb="FFEDF2EE"/>
        <bgColor rgb="FFE4EEF7"/>
      </patternFill>
    </fill>
    <fill>
      <patternFill patternType="solid">
        <fgColor rgb="FF17211B"/>
        <bgColor rgb="FF333333"/>
      </patternFill>
    </fill>
    <fill>
      <patternFill patternType="solid">
        <fgColor rgb="FF0F6B5D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E0DA"/>
      </left>
      <right style="thin">
        <color rgb="FFD9E0DA"/>
      </right>
      <top style="thin">
        <color rgb="FFD9E0DA"/>
      </top>
      <bottom style="thin">
        <color rgb="FFD9E0DA"/>
      </bottom>
      <diagonal/>
    </border>
    <border diagonalUp="false" diagonalDown="false">
      <left/>
      <right/>
      <top style="thin">
        <color rgb="FFD9E0DA"/>
      </top>
      <bottom style="thin">
        <color rgb="FFD9E0DA"/>
      </bottom>
      <diagonal/>
    </border>
    <border diagonalUp="false" diagonalDown="false">
      <left/>
      <right style="thin">
        <color rgb="FFD9E0DA"/>
      </right>
      <top style="thin">
        <color rgb="FFD9E0DA"/>
      </top>
      <bottom style="thin">
        <color rgb="FFD9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5D"/>
      <rgbColor rgb="FFC0C0C0"/>
      <rgbColor rgb="FF808080"/>
      <rgbColor rgb="FF9999FF"/>
      <rgbColor rgb="FF993366"/>
      <rgbColor rgb="FFFFF6D9"/>
      <rgbColor rgb="FFE4EEF7"/>
      <rgbColor rgb="FF660066"/>
      <rgbColor rgb="FFFF8080"/>
      <rgbColor rgb="FF0066CC"/>
      <rgbColor rgb="FFD9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E"/>
      <rgbColor rgb="FFCCFFCC"/>
      <rgbColor rgb="FFFDF1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269"/>
      <rgbColor rgb="FF969696"/>
      <rgbColor rgb="FF08483F"/>
      <rgbColor rgb="FF339966"/>
      <rgbColor rgb="FF17211B"/>
      <rgbColor rgb="FF333300"/>
      <rgbColor rgb="FFA15C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40"/>
    <col collapsed="false" customWidth="true" hidden="false" outlineLevel="0" max="4" min="3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33.7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/>
    </row>
    <row r="4" customFormat="false" ht="27.75" hidden="false" customHeight="true" outlineLevel="0" collapsed="false">
      <c r="A4" s="5" t="s">
        <v>2</v>
      </c>
      <c r="B4" s="5"/>
      <c r="C4" s="5"/>
      <c r="D4" s="5"/>
    </row>
    <row r="5" customFormat="false" ht="27.75" hidden="false" customHeight="true" outlineLevel="0" collapsed="false">
      <c r="A5" s="5" t="s">
        <v>3</v>
      </c>
      <c r="B5" s="5"/>
      <c r="C5" s="5"/>
      <c r="D5" s="5"/>
    </row>
    <row r="6" customFormat="false" ht="27.75" hidden="false" customHeight="true" outlineLevel="0" collapsed="false">
      <c r="A6" s="5" t="s">
        <v>4</v>
      </c>
      <c r="B6" s="5"/>
      <c r="C6" s="5"/>
      <c r="D6" s="5"/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6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6" t="s">
        <v>10</v>
      </c>
    </row>
    <row r="15" customFormat="false" ht="15" hidden="false" customHeight="true" outlineLevel="0" collapsed="false">
      <c r="A15" s="7" t="s">
        <v>11</v>
      </c>
      <c r="B15" s="8" t="s">
        <v>12</v>
      </c>
      <c r="C15" s="8"/>
      <c r="D15" s="8"/>
    </row>
    <row r="16" customFormat="false" ht="15" hidden="false" customHeight="true" outlineLevel="0" collapsed="false">
      <c r="A16" s="9" t="s">
        <v>13</v>
      </c>
      <c r="B16" s="8" t="s">
        <v>14</v>
      </c>
      <c r="C16" s="8"/>
      <c r="D16" s="8"/>
    </row>
    <row r="17" customFormat="false" ht="15" hidden="false" customHeight="true" outlineLevel="0" collapsed="false">
      <c r="A17" s="10" t="s">
        <v>15</v>
      </c>
      <c r="B17" s="11" t="s">
        <v>16</v>
      </c>
      <c r="C17" s="11"/>
      <c r="D17" s="11"/>
    </row>
    <row r="18" customFormat="false" ht="15" hidden="false" customHeight="true" outlineLevel="0" collapsed="false">
      <c r="A18" s="12"/>
      <c r="B18" s="13"/>
    </row>
    <row r="19" customFormat="false" ht="15" hidden="false" customHeight="true" outlineLevel="0" collapsed="false">
      <c r="A19" s="14"/>
      <c r="B19" s="13"/>
    </row>
    <row r="20" customFormat="false" ht="15" hidden="false" customHeight="true" outlineLevel="0" collapsed="false">
      <c r="A20" s="15"/>
      <c r="B20" s="13"/>
      <c r="C20" s="16"/>
      <c r="D20" s="17"/>
    </row>
    <row r="21" customFormat="false" ht="15" hidden="false" customHeight="true" outlineLevel="0" collapsed="false"/>
    <row r="22" customFormat="false" ht="15" hidden="false" customHeight="true" outlineLevel="0" collapsed="false">
      <c r="A22" s="6"/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4"/>
    </row>
    <row r="25" customFormat="false" ht="15" hidden="false" customHeight="true" outlineLevel="0" collapsed="false">
      <c r="A25" s="4"/>
    </row>
    <row r="26" customFormat="false" ht="15" hidden="false" customHeight="true" outlineLevel="0" collapsed="false">
      <c r="A26" s="4"/>
    </row>
    <row r="27" customFormat="false" ht="15" hidden="false" customHeight="true" outlineLevel="0" collapsed="false">
      <c r="A27" s="4"/>
    </row>
    <row r="28" customFormat="false" ht="15" hidden="false" customHeight="true" outlineLevel="0" collapsed="false">
      <c r="A28" s="4"/>
    </row>
  </sheetData>
  <mergeCells count="8">
    <mergeCell ref="A1:D1"/>
    <mergeCell ref="A2:D2"/>
    <mergeCell ref="A4:D4"/>
    <mergeCell ref="A5:D5"/>
    <mergeCell ref="A6:D6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  <col collapsed="false" customWidth="true" hidden="false" outlineLevel="0" max="3" min="3" style="1" width="16"/>
  </cols>
  <sheetData>
    <row r="1" customFormat="false" ht="27.75" hidden="false" customHeight="true" outlineLevel="0" collapsed="false">
      <c r="A1" s="2" t="s">
        <v>17</v>
      </c>
      <c r="B1" s="2"/>
      <c r="C1" s="2"/>
    </row>
    <row r="3" customFormat="false" ht="45.75" hidden="false" customHeight="true" outlineLevel="0" collapsed="false">
      <c r="A3" s="6" t="s">
        <v>18</v>
      </c>
      <c r="B3" s="5" t="s">
        <v>19</v>
      </c>
      <c r="C3" s="5"/>
    </row>
    <row r="4" customFormat="false" ht="34.5" hidden="false" customHeight="true" outlineLevel="0" collapsed="false">
      <c r="A4" s="6" t="s">
        <v>20</v>
      </c>
      <c r="B4" s="18" t="s">
        <v>21</v>
      </c>
    </row>
    <row r="5" customFormat="false" ht="45.75" hidden="false" customHeight="true" outlineLevel="0" collapsed="false">
      <c r="B5" s="19"/>
      <c r="C5" s="19"/>
    </row>
    <row r="6" customFormat="false" ht="34.5" hidden="false" customHeight="true" outlineLevel="0" collapsed="false">
      <c r="A6" s="6" t="s">
        <v>22</v>
      </c>
      <c r="B6" s="18" t="s">
        <v>23</v>
      </c>
    </row>
    <row r="7" customFormat="false" ht="45.75" hidden="false" customHeight="true" outlineLevel="0" collapsed="false">
      <c r="B7" s="19"/>
      <c r="C7" s="19"/>
    </row>
    <row r="8" customFormat="false" ht="34.5" hidden="false" customHeight="true" outlineLevel="0" collapsed="false">
      <c r="A8" s="6" t="s">
        <v>24</v>
      </c>
      <c r="B8" s="18" t="s">
        <v>25</v>
      </c>
    </row>
    <row r="9" customFormat="false" ht="60" hidden="false" customHeight="true" outlineLevel="0" collapsed="false">
      <c r="B9" s="19"/>
      <c r="C9" s="19"/>
    </row>
    <row r="10" customFormat="false" ht="23.25" hidden="false" customHeight="true" outlineLevel="0" collapsed="false">
      <c r="A10" s="6" t="s">
        <v>26</v>
      </c>
      <c r="B10" s="18" t="s">
        <v>27</v>
      </c>
    </row>
    <row r="11" customFormat="false" ht="45.75" hidden="false" customHeight="true" outlineLevel="0" collapsed="false">
      <c r="B11" s="19"/>
      <c r="C11" s="19"/>
    </row>
    <row r="12" customFormat="false" ht="23.25" hidden="false" customHeight="true" outlineLevel="0" collapsed="false">
      <c r="A12" s="6" t="s">
        <v>28</v>
      </c>
      <c r="B12" s="18" t="s">
        <v>29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6" t="s">
        <v>30</v>
      </c>
    </row>
    <row r="16" customFormat="false" ht="15" hidden="false" customHeight="true" outlineLevel="0" collapsed="false">
      <c r="A16" s="20" t="s">
        <v>31</v>
      </c>
      <c r="B16" s="20" t="s">
        <v>32</v>
      </c>
      <c r="C16" s="20"/>
    </row>
    <row r="17" customFormat="false" ht="15" hidden="false" customHeight="true" outlineLevel="0" collapsed="false">
      <c r="A17" s="21" t="s">
        <v>33</v>
      </c>
      <c r="B17" s="21" t="s">
        <v>34</v>
      </c>
      <c r="C17" s="21"/>
    </row>
    <row r="18" customFormat="false" ht="15" hidden="false" customHeight="true" outlineLevel="0" collapsed="false">
      <c r="A18" s="21" t="s">
        <v>35</v>
      </c>
      <c r="B18" s="21" t="s">
        <v>36</v>
      </c>
      <c r="C18" s="21"/>
    </row>
    <row r="19" customFormat="false" ht="15" hidden="false" customHeight="true" outlineLevel="0" collapsed="false">
      <c r="A19" s="21" t="s">
        <v>37</v>
      </c>
      <c r="B19" s="21" t="s">
        <v>38</v>
      </c>
      <c r="C19" s="21"/>
    </row>
  </sheetData>
  <mergeCells count="6">
    <mergeCell ref="A1:C1"/>
    <mergeCell ref="B3:C3"/>
    <mergeCell ref="B5:C5"/>
    <mergeCell ref="B7:C7"/>
    <mergeCell ref="B9:C9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4" min="3" style="1" width="46"/>
  </cols>
  <sheetData>
    <row r="1" customFormat="false" ht="27.75" hidden="false" customHeight="true" outlineLevel="0" collapsed="false">
      <c r="A1" s="2" t="s">
        <v>39</v>
      </c>
      <c r="B1" s="2"/>
      <c r="C1" s="2"/>
      <c r="D1" s="2"/>
    </row>
    <row r="3" customFormat="false" ht="15" hidden="false" customHeight="true" outlineLevel="0" collapsed="false">
      <c r="A3" s="20" t="s">
        <v>40</v>
      </c>
      <c r="B3" s="20" t="s">
        <v>41</v>
      </c>
      <c r="C3" s="20" t="s">
        <v>42</v>
      </c>
      <c r="D3" s="20" t="s">
        <v>43</v>
      </c>
    </row>
    <row r="4" customFormat="false" ht="43.5" hidden="false" customHeight="true" outlineLevel="0" collapsed="false">
      <c r="A4" s="21" t="s">
        <v>44</v>
      </c>
      <c r="B4" s="21" t="s">
        <v>35</v>
      </c>
      <c r="C4" s="21" t="s">
        <v>45</v>
      </c>
      <c r="D4" s="21" t="s">
        <v>46</v>
      </c>
    </row>
    <row r="5" customFormat="false" ht="43.5" hidden="false" customHeight="true" outlineLevel="0" collapsed="false">
      <c r="A5" s="21" t="s">
        <v>47</v>
      </c>
      <c r="B5" s="21" t="s">
        <v>35</v>
      </c>
      <c r="C5" s="21" t="s">
        <v>48</v>
      </c>
      <c r="D5" s="21" t="s">
        <v>49</v>
      </c>
    </row>
    <row r="6" customFormat="false" ht="43.5" hidden="false" customHeight="true" outlineLevel="0" collapsed="false">
      <c r="A6" s="21" t="s">
        <v>50</v>
      </c>
      <c r="B6" s="21" t="s">
        <v>33</v>
      </c>
      <c r="C6" s="21" t="s">
        <v>51</v>
      </c>
      <c r="D6" s="21" t="s">
        <v>52</v>
      </c>
    </row>
    <row r="7" customFormat="false" ht="43.5" hidden="false" customHeight="true" outlineLevel="0" collapsed="false">
      <c r="A7" s="21" t="s">
        <v>53</v>
      </c>
      <c r="B7" s="21" t="s">
        <v>33</v>
      </c>
      <c r="C7" s="21" t="s">
        <v>54</v>
      </c>
      <c r="D7" s="21" t="s">
        <v>55</v>
      </c>
    </row>
    <row r="8" customFormat="false" ht="43.5" hidden="false" customHeight="true" outlineLevel="0" collapsed="false">
      <c r="A8" s="21" t="s">
        <v>56</v>
      </c>
      <c r="B8" s="21" t="s">
        <v>33</v>
      </c>
      <c r="C8" s="21" t="s">
        <v>57</v>
      </c>
      <c r="D8" s="21" t="s">
        <v>58</v>
      </c>
    </row>
    <row r="9" customFormat="false" ht="43.5" hidden="false" customHeight="true" outlineLevel="0" collapsed="false">
      <c r="A9" s="21" t="s">
        <v>59</v>
      </c>
      <c r="B9" s="21" t="s">
        <v>37</v>
      </c>
      <c r="C9" s="21" t="s">
        <v>60</v>
      </c>
      <c r="D9" s="21" t="s">
        <v>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7" min="2" style="1" width="7"/>
  </cols>
  <sheetData>
    <row r="1" customFormat="false" ht="27.7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30" hidden="false" customHeight="true" outlineLevel="0" collapsed="false">
      <c r="A3" s="22" t="s">
        <v>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5" customFormat="false" ht="15" hidden="false" customHeight="true" outlineLevel="0" collapsed="false">
      <c r="A5" s="6" t="s">
        <v>64</v>
      </c>
    </row>
    <row r="6" customFormat="false" ht="15" hidden="false" customHeight="true" outlineLevel="0" collapsed="false">
      <c r="A6" s="20" t="s">
        <v>65</v>
      </c>
      <c r="B6" s="20" t="s">
        <v>66</v>
      </c>
      <c r="C6" s="20" t="s">
        <v>67</v>
      </c>
      <c r="D6" s="20" t="s">
        <v>68</v>
      </c>
      <c r="E6" s="20" t="s">
        <v>69</v>
      </c>
      <c r="F6" s="20" t="s">
        <v>70</v>
      </c>
      <c r="G6" s="20" t="s">
        <v>71</v>
      </c>
      <c r="H6" s="20" t="s">
        <v>72</v>
      </c>
      <c r="I6" s="20" t="s">
        <v>73</v>
      </c>
      <c r="J6" s="20" t="s">
        <v>74</v>
      </c>
      <c r="K6" s="20" t="s">
        <v>75</v>
      </c>
      <c r="L6" s="20" t="s">
        <v>76</v>
      </c>
      <c r="M6" s="20" t="s">
        <v>77</v>
      </c>
      <c r="N6" s="20" t="s">
        <v>78</v>
      </c>
      <c r="O6" s="20" t="s">
        <v>79</v>
      </c>
      <c r="P6" s="20" t="s">
        <v>80</v>
      </c>
      <c r="Q6" s="20" t="s">
        <v>81</v>
      </c>
      <c r="R6" s="20" t="s">
        <v>82</v>
      </c>
      <c r="S6" s="20" t="s">
        <v>83</v>
      </c>
      <c r="T6" s="20" t="s">
        <v>84</v>
      </c>
      <c r="U6" s="20" t="s">
        <v>85</v>
      </c>
      <c r="V6" s="20" t="s">
        <v>86</v>
      </c>
      <c r="W6" s="20" t="s">
        <v>87</v>
      </c>
      <c r="X6" s="20" t="s">
        <v>88</v>
      </c>
      <c r="Y6" s="20" t="s">
        <v>89</v>
      </c>
      <c r="Z6" s="20" t="s">
        <v>90</v>
      </c>
      <c r="AA6" s="20" t="s">
        <v>91</v>
      </c>
      <c r="AB6" s="20" t="s">
        <v>92</v>
      </c>
      <c r="AC6" s="20" t="s">
        <v>93</v>
      </c>
      <c r="AD6" s="20" t="s">
        <v>94</v>
      </c>
      <c r="AE6" s="20" t="s">
        <v>95</v>
      </c>
      <c r="AF6" s="20" t="s">
        <v>96</v>
      </c>
      <c r="AG6" s="20" t="s">
        <v>97</v>
      </c>
      <c r="AH6" s="20" t="s">
        <v>98</v>
      </c>
      <c r="AI6" s="20" t="s">
        <v>99</v>
      </c>
      <c r="AJ6" s="20" t="s">
        <v>100</v>
      </c>
      <c r="AK6" s="20" t="s">
        <v>101</v>
      </c>
    </row>
    <row r="7" customFormat="false" ht="15" hidden="false" customHeight="true" outlineLevel="0" collapsed="false">
      <c r="A7" s="14" t="s">
        <v>102</v>
      </c>
      <c r="B7" s="23" t="n">
        <v>35</v>
      </c>
      <c r="C7" s="23" t="n">
        <v>31</v>
      </c>
      <c r="D7" s="23" t="n">
        <v>19</v>
      </c>
      <c r="E7" s="23" t="n">
        <v>10</v>
      </c>
      <c r="F7" s="23" t="n">
        <v>5</v>
      </c>
      <c r="G7" s="23" t="n">
        <v>4</v>
      </c>
      <c r="H7" s="23" t="n">
        <v>4</v>
      </c>
      <c r="I7" s="23" t="n">
        <v>5</v>
      </c>
      <c r="J7" s="23" t="n">
        <v>8</v>
      </c>
      <c r="K7" s="23" t="n">
        <v>13</v>
      </c>
      <c r="L7" s="23" t="n">
        <v>23</v>
      </c>
      <c r="M7" s="23" t="n">
        <v>28</v>
      </c>
      <c r="N7" s="23" t="n">
        <v>100</v>
      </c>
      <c r="O7" s="23" t="n">
        <v>94</v>
      </c>
      <c r="P7" s="23" t="n">
        <v>63</v>
      </c>
      <c r="Q7" s="23" t="n">
        <v>31</v>
      </c>
      <c r="R7" s="23" t="n">
        <v>2</v>
      </c>
      <c r="S7" s="23" t="n">
        <v>2</v>
      </c>
      <c r="T7" s="23" t="n">
        <v>2</v>
      </c>
      <c r="U7" s="23" t="n">
        <v>2</v>
      </c>
      <c r="V7" s="23" t="n">
        <v>8</v>
      </c>
      <c r="W7" s="23" t="n">
        <v>13</v>
      </c>
      <c r="X7" s="23" t="n">
        <v>22</v>
      </c>
      <c r="Y7" s="23" t="n">
        <v>31</v>
      </c>
      <c r="Z7" s="23" t="n">
        <v>34</v>
      </c>
      <c r="AA7" s="23" t="n">
        <v>34</v>
      </c>
      <c r="AB7" s="23" t="n">
        <v>22</v>
      </c>
      <c r="AC7" s="23" t="n">
        <v>11</v>
      </c>
      <c r="AD7" s="23" t="n">
        <v>6</v>
      </c>
      <c r="AE7" s="23" t="n">
        <v>4</v>
      </c>
      <c r="AF7" s="23" t="n">
        <v>4</v>
      </c>
      <c r="AG7" s="23" t="n">
        <v>5</v>
      </c>
      <c r="AH7" s="23" t="n">
        <v>8</v>
      </c>
      <c r="AI7" s="23" t="n">
        <v>13</v>
      </c>
      <c r="AJ7" s="23" t="n">
        <v>23</v>
      </c>
      <c r="AK7" s="23" t="n">
        <v>32</v>
      </c>
    </row>
    <row r="8" customFormat="false" ht="15" hidden="false" customHeight="true" outlineLevel="0" collapsed="false">
      <c r="A8" s="14" t="s">
        <v>103</v>
      </c>
      <c r="B8" s="23" t="n">
        <v>86</v>
      </c>
      <c r="C8" s="23" t="n">
        <v>70</v>
      </c>
      <c r="D8" s="23" t="n">
        <v>42</v>
      </c>
      <c r="E8" s="23" t="n">
        <v>18</v>
      </c>
      <c r="F8" s="23" t="n">
        <v>9</v>
      </c>
      <c r="G8" s="23" t="n">
        <v>8</v>
      </c>
      <c r="H8" s="23" t="n">
        <v>8</v>
      </c>
      <c r="I8" s="23" t="n">
        <v>11</v>
      </c>
      <c r="J8" s="23" t="n">
        <v>16</v>
      </c>
      <c r="K8" s="23" t="n">
        <v>32</v>
      </c>
      <c r="L8" s="23" t="n">
        <v>56</v>
      </c>
      <c r="M8" s="23" t="n">
        <v>78</v>
      </c>
      <c r="N8" s="23" t="n">
        <v>96</v>
      </c>
      <c r="O8" s="23" t="n">
        <v>83</v>
      </c>
      <c r="P8" s="23" t="n">
        <v>44</v>
      </c>
      <c r="Q8" s="23" t="n">
        <v>19</v>
      </c>
      <c r="R8" s="23" t="n">
        <v>10</v>
      </c>
      <c r="S8" s="23" t="n">
        <v>8</v>
      </c>
      <c r="T8" s="23" t="n">
        <v>8</v>
      </c>
      <c r="U8" s="23" t="n">
        <v>11</v>
      </c>
      <c r="V8" s="23" t="n">
        <v>20</v>
      </c>
      <c r="W8" s="23" t="n">
        <v>36</v>
      </c>
      <c r="X8" s="23" t="n">
        <v>59</v>
      </c>
      <c r="Y8" s="23" t="n">
        <v>89</v>
      </c>
      <c r="Z8" s="23" t="n">
        <v>100</v>
      </c>
      <c r="AA8" s="23" t="n">
        <v>91</v>
      </c>
      <c r="AB8" s="23" t="n">
        <v>53</v>
      </c>
      <c r="AC8" s="23" t="n">
        <v>20</v>
      </c>
      <c r="AD8" s="23" t="n">
        <v>10</v>
      </c>
      <c r="AE8" s="23" t="n">
        <v>9</v>
      </c>
      <c r="AF8" s="23" t="n">
        <v>8</v>
      </c>
      <c r="AG8" s="23" t="n">
        <v>13</v>
      </c>
      <c r="AH8" s="23" t="n">
        <v>22</v>
      </c>
      <c r="AI8" s="23" t="n">
        <v>41</v>
      </c>
      <c r="AJ8" s="23" t="n">
        <v>69</v>
      </c>
      <c r="AK8" s="23" t="n">
        <v>99</v>
      </c>
    </row>
    <row r="9" customFormat="false" ht="15" hidden="false" customHeight="true" outlineLevel="0" collapsed="false">
      <c r="A9" s="14" t="s">
        <v>104</v>
      </c>
      <c r="B9" s="23" t="n">
        <v>26</v>
      </c>
      <c r="C9" s="23" t="n">
        <v>26</v>
      </c>
      <c r="D9" s="23" t="n">
        <v>38</v>
      </c>
      <c r="E9" s="23" t="n">
        <v>59</v>
      </c>
      <c r="F9" s="23" t="n">
        <v>77</v>
      </c>
      <c r="G9" s="23" t="n">
        <v>92</v>
      </c>
      <c r="H9" s="23" t="n">
        <v>87</v>
      </c>
      <c r="I9" s="23" t="n">
        <v>77</v>
      </c>
      <c r="J9" s="23" t="n">
        <v>52</v>
      </c>
      <c r="K9" s="23" t="n">
        <v>32</v>
      </c>
      <c r="L9" s="23" t="n">
        <v>25</v>
      </c>
      <c r="M9" s="23" t="n">
        <v>27</v>
      </c>
      <c r="N9" s="23" t="n">
        <v>25</v>
      </c>
      <c r="O9" s="23" t="n">
        <v>25</v>
      </c>
      <c r="P9" s="23" t="n">
        <v>39</v>
      </c>
      <c r="Q9" s="23" t="n">
        <v>62</v>
      </c>
      <c r="R9" s="23" t="n">
        <v>82</v>
      </c>
      <c r="S9" s="23" t="n">
        <v>100</v>
      </c>
      <c r="T9" s="23" t="n">
        <v>94</v>
      </c>
      <c r="U9" s="23" t="n">
        <v>80</v>
      </c>
      <c r="V9" s="23" t="n">
        <v>53</v>
      </c>
      <c r="W9" s="23" t="n">
        <v>38</v>
      </c>
      <c r="X9" s="23" t="n">
        <v>26</v>
      </c>
      <c r="Y9" s="23" t="n">
        <v>24</v>
      </c>
      <c r="Z9" s="23" t="n">
        <v>28</v>
      </c>
      <c r="AA9" s="23" t="n">
        <v>26</v>
      </c>
      <c r="AB9" s="23" t="n">
        <v>40</v>
      </c>
      <c r="AC9" s="23" t="n">
        <v>65</v>
      </c>
      <c r="AD9" s="23" t="n">
        <v>79</v>
      </c>
      <c r="AE9" s="23" t="n">
        <v>93</v>
      </c>
      <c r="AF9" s="23" t="n">
        <v>87</v>
      </c>
      <c r="AG9" s="23" t="n">
        <v>77</v>
      </c>
      <c r="AH9" s="23" t="n">
        <v>54</v>
      </c>
      <c r="AI9" s="23" t="n">
        <v>36</v>
      </c>
      <c r="AJ9" s="23" t="n">
        <v>27</v>
      </c>
      <c r="AK9" s="23" t="n">
        <v>25</v>
      </c>
    </row>
    <row r="12" customFormat="false" ht="15" hidden="false" customHeight="true" outlineLevel="0" collapsed="false">
      <c r="A12" s="6" t="s">
        <v>105</v>
      </c>
    </row>
    <row r="13" customFormat="false" ht="15" hidden="false" customHeight="true" outlineLevel="0" collapsed="false">
      <c r="A13" s="20" t="s">
        <v>65</v>
      </c>
      <c r="B13" s="20" t="s">
        <v>66</v>
      </c>
      <c r="C13" s="20" t="s">
        <v>67</v>
      </c>
      <c r="D13" s="20" t="s">
        <v>68</v>
      </c>
      <c r="E13" s="20" t="s">
        <v>69</v>
      </c>
      <c r="F13" s="20" t="s">
        <v>70</v>
      </c>
      <c r="G13" s="20" t="s">
        <v>71</v>
      </c>
      <c r="H13" s="20" t="s">
        <v>72</v>
      </c>
      <c r="I13" s="20" t="s">
        <v>73</v>
      </c>
      <c r="J13" s="20" t="s">
        <v>74</v>
      </c>
      <c r="K13" s="20" t="s">
        <v>75</v>
      </c>
      <c r="L13" s="20" t="s">
        <v>76</v>
      </c>
      <c r="M13" s="20" t="s">
        <v>77</v>
      </c>
      <c r="N13" s="20" t="s">
        <v>78</v>
      </c>
      <c r="O13" s="20" t="s">
        <v>79</v>
      </c>
      <c r="P13" s="20" t="s">
        <v>80</v>
      </c>
      <c r="Q13" s="20" t="s">
        <v>81</v>
      </c>
      <c r="R13" s="20" t="s">
        <v>82</v>
      </c>
      <c r="S13" s="20" t="s">
        <v>83</v>
      </c>
      <c r="T13" s="20" t="s">
        <v>84</v>
      </c>
      <c r="U13" s="20" t="s">
        <v>85</v>
      </c>
      <c r="V13" s="20" t="s">
        <v>86</v>
      </c>
      <c r="W13" s="20" t="s">
        <v>87</v>
      </c>
      <c r="X13" s="20" t="s">
        <v>88</v>
      </c>
      <c r="Y13" s="20" t="s">
        <v>89</v>
      </c>
      <c r="Z13" s="20" t="s">
        <v>90</v>
      </c>
      <c r="AA13" s="20" t="s">
        <v>91</v>
      </c>
      <c r="AB13" s="20" t="s">
        <v>92</v>
      </c>
      <c r="AC13" s="20" t="s">
        <v>93</v>
      </c>
      <c r="AD13" s="20" t="s">
        <v>94</v>
      </c>
      <c r="AE13" s="20" t="s">
        <v>95</v>
      </c>
      <c r="AF13" s="20" t="s">
        <v>96</v>
      </c>
      <c r="AG13" s="20" t="s">
        <v>97</v>
      </c>
      <c r="AH13" s="20" t="s">
        <v>98</v>
      </c>
      <c r="AI13" s="20" t="s">
        <v>99</v>
      </c>
      <c r="AJ13" s="20" t="s">
        <v>100</v>
      </c>
      <c r="AK13" s="20" t="s">
        <v>101</v>
      </c>
    </row>
    <row r="14" customFormat="false" ht="15" hidden="false" customHeight="true" outlineLevel="0" collapsed="false">
      <c r="A14" s="14" t="s">
        <v>106</v>
      </c>
      <c r="B14" s="23" t="n">
        <v>24.7</v>
      </c>
      <c r="C14" s="23" t="n">
        <v>26.1</v>
      </c>
      <c r="D14" s="23" t="n">
        <v>22.5</v>
      </c>
      <c r="E14" s="23" t="n">
        <v>19.5</v>
      </c>
      <c r="F14" s="23" t="n">
        <v>15.7</v>
      </c>
      <c r="G14" s="23" t="n">
        <v>12.1</v>
      </c>
      <c r="H14" s="23" t="n">
        <v>11.8</v>
      </c>
      <c r="I14" s="23" t="n">
        <v>13.2</v>
      </c>
      <c r="J14" s="23" t="n">
        <v>15.5</v>
      </c>
      <c r="K14" s="23" t="n">
        <v>18.3</v>
      </c>
      <c r="L14" s="23" t="n">
        <v>21.8</v>
      </c>
      <c r="M14" s="23" t="n">
        <v>25.2</v>
      </c>
      <c r="N14" s="23" t="n">
        <v>27.8</v>
      </c>
      <c r="O14" s="23" t="n">
        <v>25.6</v>
      </c>
      <c r="P14" s="23" t="n">
        <v>23.5</v>
      </c>
      <c r="Q14" s="23" t="n">
        <v>18.7</v>
      </c>
      <c r="R14" s="23" t="n">
        <v>21.4</v>
      </c>
      <c r="S14" s="23" t="n">
        <v>12.8</v>
      </c>
      <c r="T14" s="23" t="n">
        <v>9</v>
      </c>
      <c r="U14" s="23" t="n">
        <v>11.7</v>
      </c>
      <c r="V14" s="23" t="n">
        <v>13.5</v>
      </c>
      <c r="W14" s="23" t="n">
        <v>16.7</v>
      </c>
      <c r="X14" s="23" t="n">
        <v>21.3</v>
      </c>
      <c r="Y14" s="23" t="n">
        <v>25.7</v>
      </c>
      <c r="Z14" s="23" t="n">
        <v>26.7</v>
      </c>
      <c r="AA14" s="23" t="n">
        <v>26.2</v>
      </c>
      <c r="AB14" s="23" t="n">
        <v>24.1</v>
      </c>
      <c r="AC14" s="23" t="n">
        <v>20.3</v>
      </c>
      <c r="AD14" s="23" t="n">
        <v>14.9</v>
      </c>
      <c r="AE14" s="23" t="n">
        <v>13.4</v>
      </c>
      <c r="AF14" s="23" t="n">
        <v>17.6</v>
      </c>
      <c r="AG14" s="23" t="n">
        <v>12.2</v>
      </c>
      <c r="AH14" s="23" t="n">
        <v>14.4</v>
      </c>
      <c r="AI14" s="23" t="n">
        <v>17.5</v>
      </c>
      <c r="AJ14" s="23" t="n">
        <v>21.1</v>
      </c>
      <c r="AK14" s="23" t="n">
        <v>24.6</v>
      </c>
    </row>
    <row r="16" customFormat="false" ht="15" hidden="false" customHeight="true" outlineLevel="0" collapsed="false">
      <c r="A16" s="24" t="s">
        <v>107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9" customFormat="false" ht="15" hidden="false" customHeight="true" outlineLevel="0" collapsed="false">
      <c r="A19" s="6" t="s">
        <v>108</v>
      </c>
    </row>
    <row r="20" customFormat="false" ht="15" hidden="false" customHeight="true" outlineLevel="0" collapsed="false">
      <c r="A20" s="20" t="s">
        <v>109</v>
      </c>
      <c r="B20" s="20" t="s">
        <v>110</v>
      </c>
    </row>
    <row r="21" customFormat="false" ht="23.25" hidden="false" customHeight="true" outlineLevel="0" collapsed="false">
      <c r="A21" s="23" t="s">
        <v>85</v>
      </c>
      <c r="B21" s="25" t="s">
        <v>111</v>
      </c>
      <c r="C21" s="25"/>
      <c r="D21" s="25"/>
      <c r="E21" s="25"/>
      <c r="F21" s="25"/>
      <c r="G21" s="25"/>
      <c r="H21" s="25"/>
    </row>
    <row r="22" customFormat="false" ht="23.25" hidden="false" customHeight="true" outlineLevel="0" collapsed="false">
      <c r="A22" s="23" t="s">
        <v>96</v>
      </c>
      <c r="B22" s="25" t="s">
        <v>112</v>
      </c>
      <c r="C22" s="25"/>
      <c r="D22" s="25"/>
      <c r="E22" s="25"/>
      <c r="F22" s="25"/>
      <c r="G22" s="25"/>
      <c r="H22" s="25"/>
    </row>
    <row r="23" customFormat="false" ht="23.25" hidden="false" customHeight="true" outlineLevel="0" collapsed="false">
      <c r="A23" s="23" t="s">
        <v>79</v>
      </c>
      <c r="B23" s="25" t="s">
        <v>113</v>
      </c>
      <c r="C23" s="25"/>
      <c r="D23" s="25"/>
      <c r="E23" s="25"/>
      <c r="F23" s="25"/>
      <c r="G23" s="25"/>
      <c r="H23" s="25"/>
    </row>
  </sheetData>
  <mergeCells count="6">
    <mergeCell ref="A1:M1"/>
    <mergeCell ref="A3:M3"/>
    <mergeCell ref="A16:M16"/>
    <mergeCell ref="B21:H21"/>
    <mergeCell ref="B22:H22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39" min="4" style="1" width="7"/>
  </cols>
  <sheetData>
    <row r="1" customFormat="false" ht="27.75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3" customFormat="false" ht="23.25" hidden="false" customHeight="true" outlineLevel="0" collapsed="false">
      <c r="A3" s="20" t="s">
        <v>115</v>
      </c>
      <c r="B3" s="20" t="s">
        <v>116</v>
      </c>
      <c r="C3" s="20" t="s">
        <v>117</v>
      </c>
      <c r="D3" s="20" t="s">
        <v>118</v>
      </c>
      <c r="E3" s="20" t="s">
        <v>119</v>
      </c>
      <c r="F3" s="20" t="s">
        <v>120</v>
      </c>
      <c r="G3" s="20" t="s">
        <v>121</v>
      </c>
      <c r="H3" s="20" t="s">
        <v>122</v>
      </c>
      <c r="I3" s="20" t="s">
        <v>123</v>
      </c>
      <c r="J3" s="20" t="s">
        <v>124</v>
      </c>
      <c r="K3" s="20" t="s">
        <v>125</v>
      </c>
      <c r="L3" s="20" t="s">
        <v>126</v>
      </c>
      <c r="M3" s="20" t="s">
        <v>127</v>
      </c>
      <c r="N3" s="20" t="s">
        <v>128</v>
      </c>
      <c r="O3" s="20" t="s">
        <v>129</v>
      </c>
      <c r="P3" s="20" t="s">
        <v>130</v>
      </c>
      <c r="Q3" s="20" t="s">
        <v>131</v>
      </c>
      <c r="R3" s="20" t="s">
        <v>132</v>
      </c>
      <c r="S3" s="20" t="s">
        <v>133</v>
      </c>
      <c r="T3" s="20" t="s">
        <v>134</v>
      </c>
      <c r="U3" s="20" t="s">
        <v>135</v>
      </c>
      <c r="V3" s="20" t="s">
        <v>136</v>
      </c>
      <c r="W3" s="20" t="s">
        <v>137</v>
      </c>
      <c r="X3" s="20" t="s">
        <v>138</v>
      </c>
      <c r="Y3" s="20" t="s">
        <v>139</v>
      </c>
      <c r="Z3" s="20" t="s">
        <v>140</v>
      </c>
      <c r="AA3" s="20" t="s">
        <v>141</v>
      </c>
      <c r="AB3" s="20" t="s">
        <v>142</v>
      </c>
      <c r="AC3" s="20" t="s">
        <v>143</v>
      </c>
      <c r="AD3" s="20" t="s">
        <v>144</v>
      </c>
      <c r="AE3" s="20" t="s">
        <v>145</v>
      </c>
      <c r="AF3" s="20" t="s">
        <v>146</v>
      </c>
      <c r="AG3" s="20" t="s">
        <v>147</v>
      </c>
      <c r="AH3" s="20" t="s">
        <v>148</v>
      </c>
      <c r="AI3" s="20" t="s">
        <v>149</v>
      </c>
      <c r="AJ3" s="20" t="s">
        <v>150</v>
      </c>
      <c r="AK3" s="20" t="s">
        <v>151</v>
      </c>
      <c r="AL3" s="20" t="s">
        <v>152</v>
      </c>
      <c r="AM3" s="20" t="s">
        <v>153</v>
      </c>
    </row>
    <row r="4" customFormat="false" ht="15" hidden="false" customHeight="true" outlineLevel="0" collapsed="false">
      <c r="A4" s="14" t="s">
        <v>154</v>
      </c>
      <c r="B4" s="23" t="s">
        <v>155</v>
      </c>
      <c r="C4" s="23" t="n">
        <v>36</v>
      </c>
      <c r="D4" s="23" t="n">
        <v>2397</v>
      </c>
      <c r="E4" s="23" t="n">
        <v>1980</v>
      </c>
      <c r="F4" s="23" t="n">
        <v>1526</v>
      </c>
      <c r="G4" s="23" t="n">
        <v>774</v>
      </c>
      <c r="H4" s="23" t="n">
        <v>304</v>
      </c>
      <c r="I4" s="23" t="n">
        <v>242</v>
      </c>
      <c r="J4" s="23" t="n">
        <v>273</v>
      </c>
      <c r="K4" s="23" t="n">
        <v>351</v>
      </c>
      <c r="L4" s="23" t="n">
        <v>539</v>
      </c>
      <c r="M4" s="23" t="n">
        <v>839</v>
      </c>
      <c r="N4" s="23" t="n">
        <v>1638</v>
      </c>
      <c r="O4" s="23" t="n">
        <v>2390</v>
      </c>
      <c r="P4" s="23" t="n">
        <v>10176</v>
      </c>
      <c r="Q4" s="23" t="n">
        <v>10187</v>
      </c>
      <c r="R4" s="23" t="n">
        <v>6462</v>
      </c>
      <c r="S4" s="23" t="n">
        <v>2901</v>
      </c>
      <c r="T4" s="23" t="n">
        <v>134</v>
      </c>
      <c r="U4" s="23" t="n">
        <v>90</v>
      </c>
      <c r="V4" s="23" t="n">
        <v>104</v>
      </c>
      <c r="W4" s="23" t="n">
        <v>129</v>
      </c>
      <c r="X4" s="23" t="n">
        <v>548</v>
      </c>
      <c r="Y4" s="23" t="n">
        <v>877</v>
      </c>
      <c r="Z4" s="23" t="n">
        <v>1730</v>
      </c>
      <c r="AA4" s="23" t="n">
        <v>2289</v>
      </c>
      <c r="AB4" s="23" t="n">
        <v>2397</v>
      </c>
      <c r="AC4" s="23" t="n">
        <v>2227</v>
      </c>
      <c r="AD4" s="23" t="n">
        <v>1593</v>
      </c>
      <c r="AE4" s="23" t="n">
        <v>786</v>
      </c>
      <c r="AF4" s="23" t="n">
        <v>395</v>
      </c>
      <c r="AG4" s="23" t="n">
        <v>296</v>
      </c>
      <c r="AH4" s="23" t="n">
        <v>336</v>
      </c>
      <c r="AI4" s="23" t="n">
        <v>370</v>
      </c>
      <c r="AJ4" s="23" t="n">
        <v>549</v>
      </c>
      <c r="AK4" s="23" t="n">
        <v>893</v>
      </c>
      <c r="AL4" s="23" t="n">
        <v>1703</v>
      </c>
      <c r="AM4" s="23" t="n">
        <v>2603</v>
      </c>
    </row>
    <row r="5" customFormat="false" ht="15" hidden="false" customHeight="true" outlineLevel="0" collapsed="false">
      <c r="A5" s="14" t="s">
        <v>156</v>
      </c>
      <c r="B5" s="23" t="s">
        <v>155</v>
      </c>
      <c r="C5" s="23" t="n">
        <v>36</v>
      </c>
      <c r="D5" s="23" t="n">
        <v>1944</v>
      </c>
      <c r="E5" s="23" t="n">
        <v>1647</v>
      </c>
      <c r="F5" s="23" t="n">
        <v>923</v>
      </c>
      <c r="G5" s="23" t="n">
        <v>439</v>
      </c>
      <c r="H5" s="23" t="n">
        <v>221</v>
      </c>
      <c r="I5" s="23" t="n">
        <v>182</v>
      </c>
      <c r="J5" s="23" t="n">
        <v>167</v>
      </c>
      <c r="K5" s="23" t="n">
        <v>249</v>
      </c>
      <c r="L5" s="23" t="n">
        <v>423</v>
      </c>
      <c r="M5" s="23" t="n">
        <v>782</v>
      </c>
      <c r="N5" s="23" t="n">
        <v>1485</v>
      </c>
      <c r="O5" s="23" t="n">
        <v>1920</v>
      </c>
      <c r="P5" s="23" t="n">
        <v>2341</v>
      </c>
      <c r="Q5" s="23" t="n">
        <v>2004</v>
      </c>
      <c r="R5" s="23" t="n">
        <v>1140</v>
      </c>
      <c r="S5" s="23" t="n">
        <v>500</v>
      </c>
      <c r="T5" s="23" t="n">
        <v>215</v>
      </c>
      <c r="U5" s="23" t="n">
        <v>195</v>
      </c>
      <c r="V5" s="23" t="n">
        <v>193</v>
      </c>
      <c r="W5" s="23" t="n">
        <v>267</v>
      </c>
      <c r="X5" s="23" t="n">
        <v>470</v>
      </c>
      <c r="Y5" s="23" t="n">
        <v>970</v>
      </c>
      <c r="Z5" s="23" t="n">
        <v>1499</v>
      </c>
      <c r="AA5" s="23" t="n">
        <v>2301</v>
      </c>
      <c r="AB5" s="23" t="n">
        <v>3034</v>
      </c>
      <c r="AC5" s="23" t="n">
        <v>2998</v>
      </c>
      <c r="AD5" s="23" t="n">
        <v>1739</v>
      </c>
      <c r="AE5" s="23" t="n">
        <v>568</v>
      </c>
      <c r="AF5" s="23" t="n">
        <v>287</v>
      </c>
      <c r="AG5" s="23" t="n">
        <v>240</v>
      </c>
      <c r="AH5" s="23" t="n">
        <v>222</v>
      </c>
      <c r="AI5" s="23" t="n">
        <v>308</v>
      </c>
      <c r="AJ5" s="23" t="n">
        <v>579</v>
      </c>
      <c r="AK5" s="23" t="n">
        <v>987</v>
      </c>
      <c r="AL5" s="23" t="n">
        <v>1657</v>
      </c>
      <c r="AM5" s="23" t="n">
        <v>2261</v>
      </c>
    </row>
    <row r="6" customFormat="false" ht="15" hidden="false" customHeight="true" outlineLevel="0" collapsed="false">
      <c r="A6" s="14" t="s">
        <v>157</v>
      </c>
      <c r="B6" s="23" t="s">
        <v>158</v>
      </c>
      <c r="C6" s="23" t="n">
        <v>36</v>
      </c>
      <c r="D6" s="23" t="n">
        <v>368</v>
      </c>
      <c r="E6" s="23" t="n">
        <v>402</v>
      </c>
      <c r="F6" s="23" t="n">
        <v>590</v>
      </c>
      <c r="G6" s="23" t="n">
        <v>948</v>
      </c>
      <c r="H6" s="23" t="n">
        <v>1203</v>
      </c>
      <c r="I6" s="23" t="n">
        <v>1444</v>
      </c>
      <c r="J6" s="23" t="n">
        <v>1416</v>
      </c>
      <c r="K6" s="23" t="n">
        <v>1148</v>
      </c>
      <c r="L6" s="23" t="n">
        <v>801</v>
      </c>
      <c r="M6" s="23" t="n">
        <v>499</v>
      </c>
      <c r="N6" s="23" t="n">
        <v>382</v>
      </c>
      <c r="O6" s="23" t="n">
        <v>381</v>
      </c>
      <c r="P6" s="23" t="n">
        <v>380</v>
      </c>
      <c r="Q6" s="23" t="n">
        <v>421</v>
      </c>
      <c r="R6" s="23" t="n">
        <v>597</v>
      </c>
      <c r="S6" s="23" t="n">
        <v>956</v>
      </c>
      <c r="T6" s="23" t="n">
        <v>1334</v>
      </c>
      <c r="U6" s="23" t="n">
        <v>1542</v>
      </c>
      <c r="V6" s="23" t="n">
        <v>1490</v>
      </c>
      <c r="W6" s="23" t="n">
        <v>1221</v>
      </c>
      <c r="X6" s="23" t="n">
        <v>798</v>
      </c>
      <c r="Y6" s="23" t="n">
        <v>543</v>
      </c>
      <c r="Z6" s="23" t="n">
        <v>368</v>
      </c>
      <c r="AA6" s="23" t="n">
        <v>374</v>
      </c>
      <c r="AB6" s="23" t="n">
        <v>396</v>
      </c>
      <c r="AC6" s="23" t="n">
        <v>404</v>
      </c>
      <c r="AD6" s="23" t="n">
        <v>660</v>
      </c>
      <c r="AE6" s="23" t="n">
        <v>949</v>
      </c>
      <c r="AF6" s="23" t="n">
        <v>1331</v>
      </c>
      <c r="AG6" s="23" t="n">
        <v>1699</v>
      </c>
      <c r="AH6" s="23" t="n">
        <v>1473</v>
      </c>
      <c r="AI6" s="23" t="n">
        <v>1347</v>
      </c>
      <c r="AJ6" s="23" t="n">
        <v>812</v>
      </c>
      <c r="AK6" s="23" t="n">
        <v>566</v>
      </c>
      <c r="AL6" s="23" t="n">
        <v>405</v>
      </c>
      <c r="AM6" s="23" t="n">
        <v>421</v>
      </c>
    </row>
    <row r="7" customFormat="false" ht="15" hidden="false" customHeight="true" outlineLevel="0" collapsed="false">
      <c r="A7" s="14" t="s">
        <v>159</v>
      </c>
      <c r="B7" s="23" t="s">
        <v>160</v>
      </c>
      <c r="C7" s="23" t="n">
        <v>36</v>
      </c>
      <c r="D7" s="23" t="n">
        <v>1198</v>
      </c>
      <c r="E7" s="23" t="n">
        <v>1051</v>
      </c>
      <c r="F7" s="23" t="n">
        <v>1175</v>
      </c>
      <c r="G7" s="23" t="n">
        <v>1164</v>
      </c>
      <c r="H7" s="23" t="n">
        <v>1116</v>
      </c>
      <c r="I7" s="23" t="n">
        <v>1067</v>
      </c>
      <c r="J7" s="23" t="n">
        <v>1154</v>
      </c>
      <c r="K7" s="23" t="n">
        <v>1120</v>
      </c>
      <c r="L7" s="23" t="n">
        <v>1163</v>
      </c>
      <c r="M7" s="23" t="n">
        <v>1151</v>
      </c>
      <c r="N7" s="23" t="n">
        <v>1242</v>
      </c>
      <c r="O7" s="23" t="n">
        <v>1136</v>
      </c>
      <c r="P7" s="23" t="n">
        <v>1091</v>
      </c>
      <c r="Q7" s="23" t="n">
        <v>1160</v>
      </c>
      <c r="R7" s="23" t="n">
        <v>1163</v>
      </c>
      <c r="S7" s="23" t="n">
        <v>1228</v>
      </c>
      <c r="T7" s="23" t="n">
        <v>1198</v>
      </c>
      <c r="U7" s="23" t="n">
        <v>1171</v>
      </c>
      <c r="V7" s="23" t="n">
        <v>1234</v>
      </c>
      <c r="W7" s="23" t="n">
        <v>1082</v>
      </c>
      <c r="X7" s="23" t="n">
        <v>1113</v>
      </c>
      <c r="Y7" s="23" t="n">
        <v>1097</v>
      </c>
      <c r="Z7" s="23" t="n">
        <v>1128</v>
      </c>
      <c r="AA7" s="23" t="n">
        <v>1071</v>
      </c>
      <c r="AB7" s="23" t="n">
        <v>1187</v>
      </c>
      <c r="AC7" s="23" t="n">
        <v>1137</v>
      </c>
      <c r="AD7" s="23" t="n">
        <v>1065</v>
      </c>
      <c r="AE7" s="23" t="n">
        <v>1092</v>
      </c>
      <c r="AF7" s="23" t="n">
        <v>1168</v>
      </c>
      <c r="AG7" s="23" t="n">
        <v>1198</v>
      </c>
      <c r="AH7" s="23" t="n">
        <v>949</v>
      </c>
      <c r="AI7" s="23" t="n">
        <v>988</v>
      </c>
      <c r="AJ7" s="23" t="n">
        <v>880</v>
      </c>
      <c r="AK7" s="23" t="n">
        <v>820</v>
      </c>
      <c r="AL7" s="23" t="n">
        <v>771</v>
      </c>
      <c r="AM7" s="23" t="n">
        <v>874</v>
      </c>
    </row>
    <row r="8" customFormat="false" ht="15" hidden="false" customHeight="true" outlineLevel="0" collapsed="false">
      <c r="A8" s="14" t="s">
        <v>161</v>
      </c>
      <c r="B8" s="23" t="s">
        <v>155</v>
      </c>
      <c r="C8" s="23" t="n">
        <v>24</v>
      </c>
      <c r="P8" s="23" t="n">
        <v>721</v>
      </c>
      <c r="Q8" s="23" t="n">
        <v>704</v>
      </c>
      <c r="R8" s="23" t="n">
        <v>448</v>
      </c>
      <c r="S8" s="23" t="n">
        <v>381</v>
      </c>
      <c r="T8" s="23" t="n">
        <v>418</v>
      </c>
      <c r="U8" s="23" t="n">
        <v>607</v>
      </c>
      <c r="V8" s="23" t="n">
        <v>634</v>
      </c>
      <c r="W8" s="23" t="n">
        <v>393</v>
      </c>
      <c r="X8" s="23" t="n">
        <v>297</v>
      </c>
      <c r="Y8" s="23" t="n">
        <v>329</v>
      </c>
      <c r="Z8" s="23" t="n">
        <v>469</v>
      </c>
      <c r="AA8" s="23" t="n">
        <v>831</v>
      </c>
      <c r="AB8" s="23" t="n">
        <v>795</v>
      </c>
      <c r="AC8" s="23" t="n">
        <v>801</v>
      </c>
      <c r="AD8" s="23" t="n">
        <v>461</v>
      </c>
      <c r="AE8" s="23" t="n">
        <v>356</v>
      </c>
      <c r="AF8" s="23" t="n">
        <v>363</v>
      </c>
      <c r="AG8" s="23" t="n">
        <v>576</v>
      </c>
      <c r="AH8" s="23" t="n">
        <v>767</v>
      </c>
      <c r="AI8" s="23" t="n">
        <v>408</v>
      </c>
      <c r="AJ8" s="23" t="n">
        <v>373</v>
      </c>
      <c r="AK8" s="23" t="n">
        <v>324</v>
      </c>
      <c r="AL8" s="23" t="n">
        <v>516</v>
      </c>
      <c r="AM8" s="23" t="n">
        <v>766</v>
      </c>
    </row>
    <row r="9" customFormat="false" ht="15" hidden="false" customHeight="true" outlineLevel="0" collapsed="false">
      <c r="A9" s="14" t="s">
        <v>162</v>
      </c>
      <c r="B9" s="23" t="s">
        <v>163</v>
      </c>
      <c r="C9" s="23" t="n">
        <v>24</v>
      </c>
      <c r="P9" s="23" t="n">
        <v>2710</v>
      </c>
      <c r="Q9" s="23" t="n">
        <v>2588</v>
      </c>
      <c r="R9" s="23" t="n">
        <v>1789</v>
      </c>
      <c r="S9" s="23" t="n">
        <v>1338</v>
      </c>
      <c r="T9" s="23" t="n">
        <v>1787</v>
      </c>
      <c r="U9" s="23" t="n">
        <v>923</v>
      </c>
      <c r="V9" s="23" t="n">
        <v>919</v>
      </c>
      <c r="W9" s="23" t="n">
        <v>1168</v>
      </c>
      <c r="X9" s="23" t="n">
        <v>1441</v>
      </c>
      <c r="Y9" s="23" t="n">
        <v>1604</v>
      </c>
      <c r="Z9" s="23" t="n">
        <v>2145</v>
      </c>
      <c r="AA9" s="23" t="n">
        <v>2795</v>
      </c>
      <c r="AB9" s="23" t="n">
        <v>3080</v>
      </c>
      <c r="AC9" s="23" t="n">
        <v>2715</v>
      </c>
      <c r="AD9" s="23" t="n">
        <v>1875</v>
      </c>
      <c r="AE9" s="23" t="n">
        <v>1440</v>
      </c>
      <c r="AF9" s="23" t="n">
        <v>1224</v>
      </c>
      <c r="AG9" s="23" t="n">
        <v>1151</v>
      </c>
      <c r="AH9" s="23" t="n">
        <v>1790</v>
      </c>
      <c r="AI9" s="23" t="n">
        <v>1086</v>
      </c>
      <c r="AJ9" s="23" t="n">
        <v>1209</v>
      </c>
      <c r="AK9" s="23" t="n">
        <v>1823</v>
      </c>
      <c r="AL9" s="23" t="n">
        <v>2497</v>
      </c>
      <c r="AM9" s="23" t="n">
        <v>2787</v>
      </c>
    </row>
    <row r="10" customFormat="false" ht="15" hidden="false" customHeight="true" outlineLevel="0" collapsed="false">
      <c r="A10" s="14" t="s">
        <v>164</v>
      </c>
      <c r="B10" s="23" t="s">
        <v>158</v>
      </c>
      <c r="C10" s="23" t="n">
        <v>24</v>
      </c>
      <c r="P10" s="23" t="n">
        <v>301</v>
      </c>
      <c r="Q10" s="23" t="n">
        <v>341</v>
      </c>
      <c r="R10" s="23" t="n">
        <v>333</v>
      </c>
      <c r="S10" s="23" t="n">
        <v>386</v>
      </c>
      <c r="T10" s="23" t="n">
        <v>377</v>
      </c>
      <c r="U10" s="23" t="n">
        <v>300</v>
      </c>
      <c r="V10" s="23" t="n">
        <v>309</v>
      </c>
      <c r="W10" s="23" t="n">
        <v>458</v>
      </c>
      <c r="X10" s="23" t="n">
        <v>1054</v>
      </c>
      <c r="Y10" s="23" t="n">
        <v>1358</v>
      </c>
      <c r="Z10" s="23" t="n">
        <v>985</v>
      </c>
      <c r="AA10" s="23" t="n">
        <v>538</v>
      </c>
      <c r="AB10" s="23" t="n">
        <v>273</v>
      </c>
      <c r="AC10" s="23" t="n">
        <v>317</v>
      </c>
      <c r="AD10" s="23" t="n">
        <v>349</v>
      </c>
      <c r="AE10" s="23" t="n">
        <v>388</v>
      </c>
      <c r="AF10" s="23" t="n">
        <v>348</v>
      </c>
      <c r="AG10" s="23" t="n">
        <v>311</v>
      </c>
      <c r="AH10" s="23" t="n">
        <v>339</v>
      </c>
      <c r="AI10" s="23" t="n">
        <v>433</v>
      </c>
      <c r="AJ10" s="23" t="n">
        <v>1063</v>
      </c>
      <c r="AK10" s="23" t="n">
        <v>1230</v>
      </c>
      <c r="AL10" s="23" t="n">
        <v>985</v>
      </c>
      <c r="AM10" s="23" t="n">
        <v>568</v>
      </c>
    </row>
    <row r="11" customFormat="false" ht="15" hidden="false" customHeight="true" outlineLevel="0" collapsed="false">
      <c r="A11" s="14" t="s">
        <v>165</v>
      </c>
      <c r="B11" s="23" t="s">
        <v>166</v>
      </c>
      <c r="C11" s="23" t="n">
        <v>12</v>
      </c>
      <c r="AB11" s="23" t="n">
        <v>392</v>
      </c>
      <c r="AC11" s="23" t="n">
        <v>471</v>
      </c>
      <c r="AD11" s="23" t="n">
        <v>488</v>
      </c>
      <c r="AE11" s="23" t="n">
        <v>526</v>
      </c>
      <c r="AF11" s="23" t="n">
        <v>597</v>
      </c>
      <c r="AG11" s="23" t="n">
        <v>671</v>
      </c>
      <c r="AH11" s="23" t="n">
        <v>726</v>
      </c>
      <c r="AI11" s="23" t="n">
        <v>724</v>
      </c>
      <c r="AJ11" s="23" t="n">
        <v>835</v>
      </c>
      <c r="AK11" s="23" t="n">
        <v>899</v>
      </c>
      <c r="AL11" s="23" t="n">
        <v>1086</v>
      </c>
      <c r="AM11" s="23" t="n">
        <v>1113</v>
      </c>
    </row>
    <row r="12" customFormat="false" ht="15" hidden="false" customHeight="true" outlineLevel="0" collapsed="false">
      <c r="A12" s="14" t="s">
        <v>167</v>
      </c>
      <c r="B12" s="23" t="s">
        <v>155</v>
      </c>
      <c r="C12" s="23" t="n">
        <v>18</v>
      </c>
      <c r="V12" s="23" t="n">
        <v>30</v>
      </c>
      <c r="W12" s="23" t="n">
        <v>42</v>
      </c>
      <c r="X12" s="23" t="n">
        <v>186</v>
      </c>
      <c r="Y12" s="23" t="n">
        <v>338</v>
      </c>
      <c r="Z12" s="23" t="n">
        <v>624</v>
      </c>
      <c r="AA12" s="23" t="n">
        <v>989</v>
      </c>
      <c r="AB12" s="23" t="n">
        <v>885</v>
      </c>
      <c r="AC12" s="23" t="n">
        <v>822</v>
      </c>
      <c r="AD12" s="23" t="n">
        <v>470</v>
      </c>
      <c r="AE12" s="23" t="n">
        <v>287</v>
      </c>
      <c r="AF12" s="23" t="n">
        <v>132</v>
      </c>
      <c r="AG12" s="23" t="n">
        <v>104</v>
      </c>
      <c r="AH12" s="23" t="n">
        <v>101</v>
      </c>
      <c r="AI12" s="23" t="n">
        <v>144</v>
      </c>
      <c r="AJ12" s="23" t="n">
        <v>184</v>
      </c>
      <c r="AK12" s="23" t="n">
        <v>316</v>
      </c>
      <c r="AL12" s="23" t="n">
        <v>738</v>
      </c>
      <c r="AM12" s="23" t="n">
        <v>805</v>
      </c>
    </row>
    <row r="13" customFormat="false" ht="15" hidden="false" customHeight="true" outlineLevel="0" collapsed="false">
      <c r="A13" s="14" t="s">
        <v>168</v>
      </c>
      <c r="B13" s="23" t="s">
        <v>155</v>
      </c>
      <c r="C13" s="23" t="n">
        <v>36</v>
      </c>
      <c r="D13" s="23" t="n">
        <v>1800</v>
      </c>
      <c r="E13" s="23" t="n">
        <v>1947</v>
      </c>
      <c r="F13" s="23" t="n">
        <v>1173</v>
      </c>
      <c r="G13" s="23" t="n">
        <v>413</v>
      </c>
      <c r="H13" s="23" t="n">
        <v>219</v>
      </c>
      <c r="I13" s="23" t="n">
        <v>192</v>
      </c>
      <c r="J13" s="23" t="n">
        <v>210</v>
      </c>
      <c r="K13" s="23" t="n">
        <v>244</v>
      </c>
      <c r="L13" s="23" t="n">
        <v>405</v>
      </c>
      <c r="M13" s="23" t="n">
        <v>791</v>
      </c>
      <c r="N13" s="23" t="n">
        <v>1468</v>
      </c>
      <c r="O13" s="23" t="n">
        <v>1826</v>
      </c>
      <c r="P13" s="23" t="n">
        <v>1970</v>
      </c>
      <c r="Q13" s="23" t="n">
        <v>1590</v>
      </c>
      <c r="R13" s="23" t="n">
        <v>978</v>
      </c>
      <c r="S13" s="23" t="n">
        <v>450</v>
      </c>
      <c r="T13" s="23" t="n">
        <v>233</v>
      </c>
      <c r="U13" s="23" t="n">
        <v>184</v>
      </c>
      <c r="V13" s="23" t="n">
        <v>109</v>
      </c>
      <c r="W13" s="23" t="n">
        <v>158</v>
      </c>
      <c r="X13" s="23" t="n">
        <v>234</v>
      </c>
      <c r="Y13" s="23" t="n">
        <v>431</v>
      </c>
      <c r="Z13" s="23" t="n">
        <v>802</v>
      </c>
      <c r="AA13" s="23" t="n">
        <v>1052</v>
      </c>
      <c r="AB13" s="23" t="n">
        <v>1059</v>
      </c>
      <c r="AC13" s="23" t="n">
        <v>1009</v>
      </c>
      <c r="AD13" s="23" t="n">
        <v>554</v>
      </c>
      <c r="AE13" s="23" t="n">
        <v>295</v>
      </c>
      <c r="AF13" s="23" t="n">
        <v>143</v>
      </c>
      <c r="AG13" s="23" t="n">
        <v>110</v>
      </c>
      <c r="AH13" s="23" t="n">
        <v>102</v>
      </c>
      <c r="AI13" s="23" t="n">
        <v>139</v>
      </c>
      <c r="AJ13" s="23" t="n">
        <v>256</v>
      </c>
      <c r="AK13" s="23" t="n">
        <v>437</v>
      </c>
      <c r="AL13" s="23" t="n">
        <v>843</v>
      </c>
      <c r="AM13" s="23" t="n">
        <v>942</v>
      </c>
    </row>
  </sheetData>
  <mergeCells count="1">
    <mergeCell ref="A1:A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26" t="s">
        <v>169</v>
      </c>
      <c r="B1" s="26"/>
      <c r="C1" s="26"/>
      <c r="D1" s="26"/>
      <c r="E1" s="26"/>
      <c r="F1" s="26"/>
      <c r="G1" s="26"/>
      <c r="H1" s="26"/>
    </row>
    <row r="3" customFormat="false" ht="27.75" hidden="false" customHeight="true" outlineLevel="0" collapsed="false">
      <c r="A3" s="27" t="s">
        <v>170</v>
      </c>
      <c r="B3" s="27"/>
      <c r="C3" s="27"/>
      <c r="D3" s="27"/>
      <c r="E3" s="27"/>
      <c r="F3" s="27"/>
      <c r="G3" s="27"/>
      <c r="H3" s="27"/>
    </row>
    <row r="5" customFormat="false" ht="15" hidden="false" customHeight="false" outlineLevel="0" collapsed="false">
      <c r="A5" s="28" t="s">
        <v>171</v>
      </c>
    </row>
    <row r="6" customFormat="false" ht="23.85" hidden="false" customHeight="false" outlineLevel="0" collapsed="false">
      <c r="A6" s="20" t="s">
        <v>115</v>
      </c>
      <c r="B6" s="20" t="s">
        <v>172</v>
      </c>
      <c r="C6" s="20" t="s">
        <v>173</v>
      </c>
      <c r="D6" s="20" t="s">
        <v>174</v>
      </c>
      <c r="E6" s="20" t="s">
        <v>175</v>
      </c>
    </row>
    <row r="7" customFormat="false" ht="15" hidden="false" customHeight="false" outlineLevel="0" collapsed="false">
      <c r="A7" s="29" t="s">
        <v>154</v>
      </c>
      <c r="B7" s="30" t="s">
        <v>101</v>
      </c>
      <c r="C7" s="30" t="n">
        <v>2603</v>
      </c>
      <c r="D7" s="30" t="n">
        <v>3200</v>
      </c>
      <c r="E7" s="30" t="s">
        <v>176</v>
      </c>
    </row>
    <row r="8" customFormat="false" ht="15" hidden="false" customHeight="false" outlineLevel="0" collapsed="false">
      <c r="A8" s="29" t="s">
        <v>156</v>
      </c>
      <c r="B8" s="30" t="s">
        <v>101</v>
      </c>
      <c r="C8" s="30" t="n">
        <v>2261</v>
      </c>
      <c r="D8" s="30" t="n">
        <v>9500</v>
      </c>
      <c r="E8" s="30" t="s">
        <v>177</v>
      </c>
    </row>
    <row r="9" customFormat="false" ht="15" hidden="false" customHeight="false" outlineLevel="0" collapsed="false">
      <c r="A9" s="29" t="s">
        <v>168</v>
      </c>
      <c r="B9" s="30" t="s">
        <v>101</v>
      </c>
      <c r="C9" s="30" t="n">
        <v>942</v>
      </c>
      <c r="D9" s="30" t="n">
        <v>7800</v>
      </c>
      <c r="E9" s="30" t="s">
        <v>178</v>
      </c>
    </row>
    <row r="12" customFormat="false" ht="15" hidden="false" customHeight="false" outlineLevel="0" collapsed="false">
      <c r="A12" s="28" t="s">
        <v>179</v>
      </c>
    </row>
    <row r="13" customFormat="false" ht="15" hidden="false" customHeight="false" outlineLevel="0" collapsed="false">
      <c r="A13" s="20" t="s">
        <v>115</v>
      </c>
      <c r="B13" s="20" t="s">
        <v>180</v>
      </c>
      <c r="C13" s="20" t="s">
        <v>181</v>
      </c>
      <c r="D13" s="20" t="s">
        <v>182</v>
      </c>
      <c r="E13" s="20" t="s">
        <v>183</v>
      </c>
      <c r="F13" s="20" t="s">
        <v>184</v>
      </c>
      <c r="G13" s="20" t="s">
        <v>185</v>
      </c>
    </row>
    <row r="14" customFormat="false" ht="15" hidden="false" customHeight="false" outlineLevel="0" collapsed="false">
      <c r="A14" s="31" t="s">
        <v>154</v>
      </c>
      <c r="B14" s="31" t="n">
        <v>1</v>
      </c>
      <c r="C14" s="32"/>
      <c r="D14" s="32"/>
      <c r="E14" s="32"/>
      <c r="F14" s="32"/>
      <c r="G14" s="32"/>
    </row>
    <row r="15" customFormat="false" ht="15" hidden="false" customHeight="false" outlineLevel="0" collapsed="false">
      <c r="A15" s="31" t="s">
        <v>154</v>
      </c>
      <c r="B15" s="31" t="n">
        <v>2</v>
      </c>
      <c r="C15" s="32"/>
      <c r="D15" s="32"/>
      <c r="E15" s="32"/>
      <c r="F15" s="32"/>
      <c r="G15" s="32"/>
    </row>
    <row r="16" customFormat="false" ht="15" hidden="false" customHeight="false" outlineLevel="0" collapsed="false">
      <c r="A16" s="31" t="s">
        <v>154</v>
      </c>
      <c r="B16" s="31" t="n">
        <v>3</v>
      </c>
      <c r="C16" s="32"/>
      <c r="D16" s="32"/>
      <c r="E16" s="32"/>
      <c r="F16" s="32"/>
      <c r="G16" s="32"/>
    </row>
    <row r="17" customFormat="false" ht="15" hidden="false" customHeight="false" outlineLevel="0" collapsed="false">
      <c r="A17" s="31" t="s">
        <v>154</v>
      </c>
      <c r="B17" s="31" t="n">
        <v>4</v>
      </c>
      <c r="C17" s="32"/>
      <c r="D17" s="32"/>
      <c r="E17" s="32"/>
      <c r="F17" s="32"/>
      <c r="G17" s="32"/>
    </row>
    <row r="18" customFormat="false" ht="15" hidden="false" customHeight="false" outlineLevel="0" collapsed="false">
      <c r="A18" s="31" t="s">
        <v>154</v>
      </c>
      <c r="B18" s="31" t="n">
        <v>5</v>
      </c>
      <c r="C18" s="32"/>
      <c r="D18" s="32"/>
      <c r="E18" s="32"/>
      <c r="F18" s="32"/>
      <c r="G18" s="32"/>
    </row>
    <row r="19" customFormat="false" ht="15" hidden="false" customHeight="false" outlineLevel="0" collapsed="false">
      <c r="A19" s="31" t="s">
        <v>154</v>
      </c>
      <c r="B19" s="31" t="n">
        <v>6</v>
      </c>
      <c r="C19" s="32"/>
      <c r="D19" s="32"/>
      <c r="E19" s="32"/>
      <c r="F19" s="32"/>
      <c r="G19" s="32"/>
    </row>
    <row r="20" customFormat="false" ht="15" hidden="false" customHeight="false" outlineLevel="0" collapsed="false">
      <c r="A20" s="31" t="s">
        <v>154</v>
      </c>
      <c r="B20" s="31" t="n">
        <v>7</v>
      </c>
      <c r="C20" s="32"/>
      <c r="D20" s="32"/>
      <c r="E20" s="32"/>
      <c r="F20" s="32"/>
      <c r="G20" s="32"/>
    </row>
    <row r="21" customFormat="false" ht="15" hidden="false" customHeight="false" outlineLevel="0" collapsed="false">
      <c r="A21" s="31" t="s">
        <v>154</v>
      </c>
      <c r="B21" s="31" t="n">
        <v>8</v>
      </c>
      <c r="C21" s="32"/>
      <c r="D21" s="32"/>
      <c r="E21" s="32"/>
      <c r="F21" s="32"/>
      <c r="G21" s="32"/>
    </row>
    <row r="22" customFormat="false" ht="15" hidden="false" customHeight="false" outlineLevel="0" collapsed="false">
      <c r="A22" s="31" t="s">
        <v>154</v>
      </c>
      <c r="B22" s="31" t="n">
        <v>9</v>
      </c>
      <c r="C22" s="32"/>
      <c r="D22" s="32"/>
      <c r="E22" s="32"/>
      <c r="F22" s="32"/>
      <c r="G22" s="32"/>
    </row>
    <row r="23" customFormat="false" ht="15" hidden="false" customHeight="false" outlineLevel="0" collapsed="false">
      <c r="A23" s="31" t="s">
        <v>154</v>
      </c>
      <c r="B23" s="31" t="n">
        <v>10</v>
      </c>
      <c r="C23" s="32"/>
      <c r="D23" s="32"/>
      <c r="E23" s="32"/>
      <c r="F23" s="32"/>
      <c r="G23" s="32"/>
    </row>
    <row r="24" customFormat="false" ht="15" hidden="false" customHeight="false" outlineLevel="0" collapsed="false">
      <c r="A24" s="31" t="s">
        <v>154</v>
      </c>
      <c r="B24" s="31" t="n">
        <v>11</v>
      </c>
      <c r="C24" s="32"/>
      <c r="D24" s="32"/>
      <c r="E24" s="32"/>
      <c r="F24" s="32"/>
      <c r="G24" s="32"/>
    </row>
    <row r="25" customFormat="false" ht="15" hidden="false" customHeight="false" outlineLevel="0" collapsed="false">
      <c r="A25" s="31" t="s">
        <v>154</v>
      </c>
      <c r="B25" s="31" t="n">
        <v>12</v>
      </c>
      <c r="C25" s="32"/>
      <c r="D25" s="32"/>
      <c r="E25" s="32"/>
      <c r="F25" s="32"/>
      <c r="G25" s="32"/>
    </row>
    <row r="26" customFormat="false" ht="15" hidden="false" customHeight="false" outlineLevel="0" collapsed="false">
      <c r="A26" s="31" t="s">
        <v>154</v>
      </c>
      <c r="B26" s="31" t="n">
        <v>13</v>
      </c>
      <c r="C26" s="32"/>
      <c r="D26" s="32"/>
      <c r="E26" s="32"/>
      <c r="F26" s="32"/>
      <c r="G26" s="32"/>
    </row>
    <row r="27" customFormat="false" ht="15" hidden="false" customHeight="false" outlineLevel="0" collapsed="false">
      <c r="A27" s="31" t="s">
        <v>156</v>
      </c>
      <c r="B27" s="31" t="n">
        <v>1</v>
      </c>
      <c r="C27" s="32"/>
      <c r="D27" s="32"/>
      <c r="E27" s="32"/>
      <c r="F27" s="32"/>
      <c r="G27" s="32"/>
    </row>
    <row r="28" customFormat="false" ht="15" hidden="false" customHeight="false" outlineLevel="0" collapsed="false">
      <c r="A28" s="31" t="s">
        <v>156</v>
      </c>
      <c r="B28" s="31" t="n">
        <v>2</v>
      </c>
      <c r="C28" s="32"/>
      <c r="D28" s="32"/>
      <c r="E28" s="32"/>
      <c r="F28" s="32"/>
      <c r="G28" s="32"/>
    </row>
    <row r="29" customFormat="false" ht="15" hidden="false" customHeight="false" outlineLevel="0" collapsed="false">
      <c r="A29" s="31" t="s">
        <v>156</v>
      </c>
      <c r="B29" s="31" t="n">
        <v>3</v>
      </c>
      <c r="C29" s="32"/>
      <c r="D29" s="32"/>
      <c r="E29" s="32"/>
      <c r="F29" s="32"/>
      <c r="G29" s="32"/>
    </row>
    <row r="30" customFormat="false" ht="15" hidden="false" customHeight="false" outlineLevel="0" collapsed="false">
      <c r="A30" s="31" t="s">
        <v>156</v>
      </c>
      <c r="B30" s="31" t="n">
        <v>4</v>
      </c>
      <c r="C30" s="32"/>
      <c r="D30" s="32"/>
      <c r="E30" s="32"/>
      <c r="F30" s="32"/>
      <c r="G30" s="32"/>
    </row>
    <row r="31" customFormat="false" ht="15" hidden="false" customHeight="false" outlineLevel="0" collapsed="false">
      <c r="A31" s="31" t="s">
        <v>156</v>
      </c>
      <c r="B31" s="31" t="n">
        <v>5</v>
      </c>
      <c r="C31" s="32"/>
      <c r="D31" s="32"/>
      <c r="E31" s="32"/>
      <c r="F31" s="32"/>
      <c r="G31" s="32"/>
    </row>
    <row r="32" customFormat="false" ht="15" hidden="false" customHeight="false" outlineLevel="0" collapsed="false">
      <c r="A32" s="31" t="s">
        <v>156</v>
      </c>
      <c r="B32" s="31" t="n">
        <v>6</v>
      </c>
      <c r="C32" s="32"/>
      <c r="D32" s="32"/>
      <c r="E32" s="32"/>
      <c r="F32" s="32"/>
      <c r="G32" s="32"/>
    </row>
    <row r="33" customFormat="false" ht="15" hidden="false" customHeight="false" outlineLevel="0" collapsed="false">
      <c r="A33" s="31" t="s">
        <v>156</v>
      </c>
      <c r="B33" s="31" t="n">
        <v>7</v>
      </c>
      <c r="C33" s="32"/>
      <c r="D33" s="32"/>
      <c r="E33" s="32"/>
      <c r="F33" s="32"/>
      <c r="G33" s="32"/>
    </row>
    <row r="34" customFormat="false" ht="15" hidden="false" customHeight="false" outlineLevel="0" collapsed="false">
      <c r="A34" s="31" t="s">
        <v>156</v>
      </c>
      <c r="B34" s="31" t="n">
        <v>8</v>
      </c>
      <c r="C34" s="32"/>
      <c r="D34" s="32"/>
      <c r="E34" s="32"/>
      <c r="F34" s="32"/>
      <c r="G34" s="32"/>
    </row>
    <row r="35" customFormat="false" ht="15" hidden="false" customHeight="false" outlineLevel="0" collapsed="false">
      <c r="A35" s="31" t="s">
        <v>156</v>
      </c>
      <c r="B35" s="31" t="n">
        <v>9</v>
      </c>
      <c r="C35" s="32"/>
      <c r="D35" s="32"/>
      <c r="E35" s="32"/>
      <c r="F35" s="32"/>
      <c r="G35" s="32"/>
    </row>
    <row r="36" customFormat="false" ht="15" hidden="false" customHeight="false" outlineLevel="0" collapsed="false">
      <c r="A36" s="31" t="s">
        <v>156</v>
      </c>
      <c r="B36" s="31" t="n">
        <v>10</v>
      </c>
      <c r="C36" s="32"/>
      <c r="D36" s="32"/>
      <c r="E36" s="32"/>
      <c r="F36" s="32"/>
      <c r="G36" s="32"/>
    </row>
    <row r="37" customFormat="false" ht="15" hidden="false" customHeight="false" outlineLevel="0" collapsed="false">
      <c r="A37" s="31" t="s">
        <v>156</v>
      </c>
      <c r="B37" s="31" t="n">
        <v>11</v>
      </c>
      <c r="C37" s="32"/>
      <c r="D37" s="32"/>
      <c r="E37" s="32"/>
      <c r="F37" s="32"/>
      <c r="G37" s="32"/>
    </row>
    <row r="38" customFormat="false" ht="15" hidden="false" customHeight="false" outlineLevel="0" collapsed="false">
      <c r="A38" s="31" t="s">
        <v>156</v>
      </c>
      <c r="B38" s="31" t="n">
        <v>12</v>
      </c>
      <c r="C38" s="32"/>
      <c r="D38" s="32"/>
      <c r="E38" s="32"/>
      <c r="F38" s="32"/>
      <c r="G38" s="32"/>
    </row>
    <row r="39" customFormat="false" ht="15" hidden="false" customHeight="false" outlineLevel="0" collapsed="false">
      <c r="A39" s="31" t="s">
        <v>156</v>
      </c>
      <c r="B39" s="31" t="n">
        <v>13</v>
      </c>
      <c r="C39" s="32"/>
      <c r="D39" s="32"/>
      <c r="E39" s="32"/>
      <c r="F39" s="32"/>
      <c r="G39" s="32"/>
    </row>
    <row r="40" customFormat="false" ht="15" hidden="false" customHeight="false" outlineLevel="0" collapsed="false">
      <c r="A40" s="31" t="s">
        <v>168</v>
      </c>
      <c r="B40" s="31" t="n">
        <v>1</v>
      </c>
      <c r="C40" s="32"/>
      <c r="D40" s="32"/>
      <c r="E40" s="32"/>
      <c r="F40" s="32"/>
      <c r="G40" s="32"/>
    </row>
    <row r="41" customFormat="false" ht="15" hidden="false" customHeight="false" outlineLevel="0" collapsed="false">
      <c r="A41" s="31" t="s">
        <v>168</v>
      </c>
      <c r="B41" s="31" t="n">
        <v>2</v>
      </c>
      <c r="C41" s="32"/>
      <c r="D41" s="32"/>
      <c r="E41" s="32"/>
      <c r="F41" s="32"/>
      <c r="G41" s="32"/>
    </row>
    <row r="42" customFormat="false" ht="15" hidden="false" customHeight="false" outlineLevel="0" collapsed="false">
      <c r="A42" s="31" t="s">
        <v>168</v>
      </c>
      <c r="B42" s="31" t="n">
        <v>3</v>
      </c>
      <c r="C42" s="32"/>
      <c r="D42" s="32"/>
      <c r="E42" s="32"/>
      <c r="F42" s="32"/>
      <c r="G42" s="32"/>
    </row>
    <row r="43" customFormat="false" ht="15" hidden="false" customHeight="false" outlineLevel="0" collapsed="false">
      <c r="A43" s="31" t="s">
        <v>168</v>
      </c>
      <c r="B43" s="31" t="n">
        <v>4</v>
      </c>
      <c r="C43" s="32"/>
      <c r="D43" s="32"/>
      <c r="E43" s="32"/>
      <c r="F43" s="32"/>
      <c r="G43" s="32"/>
    </row>
    <row r="44" customFormat="false" ht="15" hidden="false" customHeight="false" outlineLevel="0" collapsed="false">
      <c r="A44" s="31" t="s">
        <v>168</v>
      </c>
      <c r="B44" s="31" t="n">
        <v>5</v>
      </c>
      <c r="C44" s="32"/>
      <c r="D44" s="32"/>
      <c r="E44" s="32"/>
      <c r="F44" s="32"/>
      <c r="G44" s="32"/>
    </row>
    <row r="45" customFormat="false" ht="15" hidden="false" customHeight="false" outlineLevel="0" collapsed="false">
      <c r="A45" s="31" t="s">
        <v>168</v>
      </c>
      <c r="B45" s="31" t="n">
        <v>6</v>
      </c>
      <c r="C45" s="32"/>
      <c r="D45" s="32"/>
      <c r="E45" s="32"/>
      <c r="F45" s="32"/>
      <c r="G45" s="32"/>
    </row>
    <row r="46" customFormat="false" ht="15" hidden="false" customHeight="false" outlineLevel="0" collapsed="false">
      <c r="A46" s="31" t="s">
        <v>168</v>
      </c>
      <c r="B46" s="31" t="n">
        <v>7</v>
      </c>
      <c r="C46" s="32"/>
      <c r="D46" s="32"/>
      <c r="E46" s="32"/>
      <c r="F46" s="32"/>
      <c r="G46" s="32"/>
    </row>
    <row r="47" customFormat="false" ht="15" hidden="false" customHeight="false" outlineLevel="0" collapsed="false">
      <c r="A47" s="31" t="s">
        <v>168</v>
      </c>
      <c r="B47" s="31" t="n">
        <v>8</v>
      </c>
      <c r="C47" s="32"/>
      <c r="D47" s="32"/>
      <c r="E47" s="32"/>
      <c r="F47" s="32"/>
      <c r="G47" s="32"/>
    </row>
    <row r="48" customFormat="false" ht="15" hidden="false" customHeight="false" outlineLevel="0" collapsed="false">
      <c r="A48" s="31" t="s">
        <v>168</v>
      </c>
      <c r="B48" s="31" t="n">
        <v>9</v>
      </c>
      <c r="C48" s="32"/>
      <c r="D48" s="32"/>
      <c r="E48" s="32"/>
      <c r="F48" s="32"/>
      <c r="G48" s="32"/>
    </row>
    <row r="49" customFormat="false" ht="15" hidden="false" customHeight="false" outlineLevel="0" collapsed="false">
      <c r="A49" s="31" t="s">
        <v>168</v>
      </c>
      <c r="B49" s="31" t="n">
        <v>10</v>
      </c>
      <c r="C49" s="32"/>
      <c r="D49" s="32"/>
      <c r="E49" s="32"/>
      <c r="F49" s="32"/>
      <c r="G49" s="32"/>
    </row>
    <row r="50" customFormat="false" ht="15" hidden="false" customHeight="false" outlineLevel="0" collapsed="false">
      <c r="A50" s="31" t="s">
        <v>168</v>
      </c>
      <c r="B50" s="31" t="n">
        <v>11</v>
      </c>
      <c r="C50" s="32"/>
      <c r="D50" s="32"/>
      <c r="E50" s="32"/>
      <c r="F50" s="32"/>
      <c r="G50" s="32"/>
    </row>
    <row r="51" customFormat="false" ht="15" hidden="false" customHeight="false" outlineLevel="0" collapsed="false">
      <c r="A51" s="31" t="s">
        <v>168</v>
      </c>
      <c r="B51" s="31" t="n">
        <v>12</v>
      </c>
      <c r="C51" s="32"/>
      <c r="D51" s="32"/>
      <c r="E51" s="32"/>
      <c r="F51" s="32"/>
      <c r="G51" s="32"/>
    </row>
    <row r="52" customFormat="false" ht="15" hidden="false" customHeight="false" outlineLevel="0" collapsed="false">
      <c r="A52" s="31" t="s">
        <v>168</v>
      </c>
      <c r="B52" s="31" t="n">
        <v>13</v>
      </c>
      <c r="C52" s="32"/>
      <c r="D52" s="32"/>
      <c r="E52" s="32"/>
      <c r="F52" s="32"/>
      <c r="G52" s="32"/>
    </row>
    <row r="55" customFormat="false" ht="15" hidden="false" customHeight="false" outlineLevel="0" collapsed="false">
      <c r="A55" s="28" t="s">
        <v>186</v>
      </c>
    </row>
    <row r="56" customFormat="false" ht="15" hidden="false" customHeight="false" outlineLevel="0" collapsed="false">
      <c r="A56" s="31" t="s">
        <v>154</v>
      </c>
      <c r="B56" s="32"/>
      <c r="C56" s="32"/>
      <c r="D56" s="32"/>
      <c r="E56" s="32"/>
      <c r="F56" s="32"/>
      <c r="G56" s="32"/>
    </row>
    <row r="57" customFormat="false" ht="15" hidden="false" customHeight="false" outlineLevel="0" collapsed="false">
      <c r="A57" s="31" t="s">
        <v>156</v>
      </c>
      <c r="B57" s="32"/>
      <c r="C57" s="32"/>
      <c r="D57" s="32"/>
      <c r="E57" s="32"/>
      <c r="F57" s="32"/>
      <c r="G57" s="32"/>
    </row>
    <row r="58" customFormat="false" ht="15" hidden="false" customHeight="false" outlineLevel="0" collapsed="false">
      <c r="A58" s="31" t="s">
        <v>168</v>
      </c>
      <c r="B58" s="32"/>
      <c r="C58" s="32"/>
      <c r="D58" s="32"/>
      <c r="E58" s="32"/>
      <c r="F58" s="32"/>
      <c r="G58" s="32"/>
    </row>
    <row r="61" customFormat="false" ht="21.75" hidden="false" customHeight="true" outlineLevel="0" collapsed="false">
      <c r="A61" s="33" t="s">
        <v>187</v>
      </c>
      <c r="B61" s="33"/>
      <c r="C61" s="33"/>
      <c r="D61" s="33"/>
      <c r="E61" s="33"/>
      <c r="F61" s="33"/>
      <c r="G61" s="33"/>
      <c r="H61" s="33"/>
    </row>
    <row r="63" customFormat="false" ht="15" hidden="false" customHeight="false" outlineLevel="0" collapsed="false">
      <c r="A63" s="28" t="s">
        <v>188</v>
      </c>
    </row>
    <row r="64" customFormat="false" ht="23.85" hidden="false" customHeight="false" outlineLevel="0" collapsed="false">
      <c r="A64" s="20" t="s">
        <v>115</v>
      </c>
      <c r="B64" s="20" t="s">
        <v>189</v>
      </c>
      <c r="C64" s="20" t="s">
        <v>190</v>
      </c>
      <c r="D64" s="20" t="s">
        <v>191</v>
      </c>
      <c r="E64" s="20" t="s">
        <v>192</v>
      </c>
    </row>
    <row r="65" customFormat="false" ht="15" hidden="false" customHeight="false" outlineLevel="0" collapsed="false">
      <c r="A65" s="29" t="s">
        <v>168</v>
      </c>
      <c r="B65" s="30" t="s">
        <v>193</v>
      </c>
      <c r="C65" s="34" t="n">
        <v>-0.2</v>
      </c>
      <c r="D65" s="30" t="n">
        <v>0.8</v>
      </c>
      <c r="E65" s="35" t="n">
        <f aca="false">-D65*C65</f>
        <v>0.16</v>
      </c>
    </row>
    <row r="66" customFormat="false" ht="15" hidden="false" customHeight="false" outlineLevel="0" collapsed="false">
      <c r="A66" s="29" t="s">
        <v>156</v>
      </c>
      <c r="B66" s="30" t="s">
        <v>194</v>
      </c>
      <c r="C66" s="34" t="n">
        <v>0.1</v>
      </c>
      <c r="D66" s="30" t="n">
        <v>0.4</v>
      </c>
      <c r="E66" s="35" t="n">
        <f aca="false">-D66*C66</f>
        <v>-0.04</v>
      </c>
    </row>
    <row r="69" customFormat="false" ht="15" hidden="false" customHeight="false" outlineLevel="0" collapsed="false">
      <c r="A69" s="28" t="s">
        <v>195</v>
      </c>
    </row>
    <row r="70" customFormat="false" ht="23.85" hidden="false" customHeight="false" outlineLevel="0" collapsed="false">
      <c r="A70" s="20" t="s">
        <v>115</v>
      </c>
      <c r="B70" s="20" t="s">
        <v>180</v>
      </c>
      <c r="C70" s="20" t="s">
        <v>196</v>
      </c>
      <c r="D70" s="20" t="s">
        <v>197</v>
      </c>
      <c r="E70" s="20" t="s">
        <v>198</v>
      </c>
    </row>
    <row r="71" customFormat="false" ht="15" hidden="false" customHeight="false" outlineLevel="0" collapsed="false">
      <c r="A71" s="31" t="s">
        <v>168</v>
      </c>
      <c r="B71" s="31" t="n">
        <v>1</v>
      </c>
      <c r="C71" s="32"/>
      <c r="D71" s="32"/>
      <c r="E71" s="32"/>
    </row>
    <row r="72" customFormat="false" ht="15" hidden="false" customHeight="false" outlineLevel="0" collapsed="false">
      <c r="A72" s="31" t="s">
        <v>168</v>
      </c>
      <c r="B72" s="31" t="n">
        <v>2</v>
      </c>
      <c r="C72" s="32"/>
      <c r="D72" s="32"/>
      <c r="E72" s="32"/>
    </row>
    <row r="73" customFormat="false" ht="15" hidden="false" customHeight="false" outlineLevel="0" collapsed="false">
      <c r="A73" s="31" t="s">
        <v>168</v>
      </c>
      <c r="B73" s="31" t="n">
        <v>3</v>
      </c>
      <c r="C73" s="32"/>
      <c r="D73" s="32"/>
      <c r="E73" s="32"/>
    </row>
    <row r="74" customFormat="false" ht="15" hidden="false" customHeight="false" outlineLevel="0" collapsed="false">
      <c r="A74" s="31" t="s">
        <v>168</v>
      </c>
      <c r="B74" s="31" t="n">
        <v>4</v>
      </c>
      <c r="C74" s="32"/>
      <c r="D74" s="32"/>
      <c r="E74" s="32"/>
    </row>
    <row r="75" customFormat="false" ht="15" hidden="false" customHeight="false" outlineLevel="0" collapsed="false">
      <c r="A75" s="31" t="s">
        <v>168</v>
      </c>
      <c r="B75" s="31" t="n">
        <v>5</v>
      </c>
      <c r="C75" s="32"/>
      <c r="D75" s="32"/>
      <c r="E75" s="32"/>
    </row>
    <row r="76" customFormat="false" ht="15" hidden="false" customHeight="false" outlineLevel="0" collapsed="false">
      <c r="A76" s="31" t="s">
        <v>168</v>
      </c>
      <c r="B76" s="31" t="n">
        <v>6</v>
      </c>
      <c r="C76" s="32"/>
      <c r="D76" s="32"/>
      <c r="E76" s="32"/>
    </row>
    <row r="77" customFormat="false" ht="15" hidden="false" customHeight="false" outlineLevel="0" collapsed="false">
      <c r="A77" s="31" t="s">
        <v>168</v>
      </c>
      <c r="B77" s="31" t="n">
        <v>7</v>
      </c>
      <c r="C77" s="32"/>
      <c r="D77" s="32"/>
      <c r="E77" s="32"/>
    </row>
    <row r="78" customFormat="false" ht="15" hidden="false" customHeight="false" outlineLevel="0" collapsed="false">
      <c r="A78" s="31" t="s">
        <v>168</v>
      </c>
      <c r="B78" s="31" t="n">
        <v>8</v>
      </c>
      <c r="C78" s="32"/>
      <c r="D78" s="32"/>
      <c r="E78" s="32"/>
    </row>
    <row r="79" customFormat="false" ht="15" hidden="false" customHeight="false" outlineLevel="0" collapsed="false">
      <c r="A79" s="31" t="s">
        <v>168</v>
      </c>
      <c r="B79" s="31" t="n">
        <v>9</v>
      </c>
      <c r="C79" s="32"/>
      <c r="D79" s="32"/>
      <c r="E79" s="32"/>
    </row>
    <row r="80" customFormat="false" ht="15" hidden="false" customHeight="false" outlineLevel="0" collapsed="false">
      <c r="A80" s="31" t="s">
        <v>168</v>
      </c>
      <c r="B80" s="31" t="n">
        <v>10</v>
      </c>
      <c r="C80" s="32"/>
      <c r="D80" s="32"/>
      <c r="E80" s="32"/>
    </row>
    <row r="81" customFormat="false" ht="15" hidden="false" customHeight="false" outlineLevel="0" collapsed="false">
      <c r="A81" s="31" t="s">
        <v>168</v>
      </c>
      <c r="B81" s="31" t="n">
        <v>11</v>
      </c>
      <c r="C81" s="32"/>
      <c r="D81" s="32"/>
      <c r="E81" s="32"/>
    </row>
    <row r="82" customFormat="false" ht="15" hidden="false" customHeight="false" outlineLevel="0" collapsed="false">
      <c r="A82" s="31" t="s">
        <v>168</v>
      </c>
      <c r="B82" s="31" t="n">
        <v>12</v>
      </c>
      <c r="C82" s="32"/>
      <c r="D82" s="32"/>
      <c r="E82" s="32"/>
    </row>
    <row r="83" customFormat="false" ht="15" hidden="false" customHeight="false" outlineLevel="0" collapsed="false">
      <c r="A83" s="31" t="s">
        <v>168</v>
      </c>
      <c r="B83" s="31" t="n">
        <v>13</v>
      </c>
      <c r="C83" s="32"/>
      <c r="D83" s="32"/>
      <c r="E83" s="32"/>
    </row>
    <row r="84" customFormat="false" ht="15" hidden="false" customHeight="false" outlineLevel="0" collapsed="false">
      <c r="A84" s="31" t="s">
        <v>156</v>
      </c>
      <c r="B84" s="31" t="n">
        <v>1</v>
      </c>
      <c r="C84" s="32"/>
      <c r="D84" s="32"/>
      <c r="E84" s="32"/>
    </row>
    <row r="85" customFormat="false" ht="15" hidden="false" customHeight="false" outlineLevel="0" collapsed="false">
      <c r="A85" s="31" t="s">
        <v>156</v>
      </c>
      <c r="B85" s="31" t="n">
        <v>2</v>
      </c>
      <c r="C85" s="32"/>
      <c r="D85" s="32"/>
      <c r="E85" s="32"/>
    </row>
    <row r="86" customFormat="false" ht="15" hidden="false" customHeight="false" outlineLevel="0" collapsed="false">
      <c r="A86" s="31" t="s">
        <v>156</v>
      </c>
      <c r="B86" s="31" t="n">
        <v>3</v>
      </c>
      <c r="C86" s="32"/>
      <c r="D86" s="32"/>
      <c r="E86" s="32"/>
    </row>
    <row r="87" customFormat="false" ht="15" hidden="false" customHeight="false" outlineLevel="0" collapsed="false">
      <c r="A87" s="31" t="s">
        <v>156</v>
      </c>
      <c r="B87" s="31" t="n">
        <v>4</v>
      </c>
      <c r="C87" s="32"/>
      <c r="D87" s="32"/>
      <c r="E87" s="32"/>
    </row>
    <row r="88" customFormat="false" ht="15" hidden="false" customHeight="false" outlineLevel="0" collapsed="false">
      <c r="A88" s="31" t="s">
        <v>156</v>
      </c>
      <c r="B88" s="31" t="n">
        <v>5</v>
      </c>
      <c r="C88" s="32"/>
      <c r="D88" s="32"/>
      <c r="E88" s="32"/>
    </row>
    <row r="89" customFormat="false" ht="15" hidden="false" customHeight="false" outlineLevel="0" collapsed="false">
      <c r="A89" s="31" t="s">
        <v>156</v>
      </c>
      <c r="B89" s="31" t="n">
        <v>6</v>
      </c>
      <c r="C89" s="32"/>
      <c r="D89" s="32"/>
      <c r="E89" s="32"/>
    </row>
    <row r="90" customFormat="false" ht="15" hidden="false" customHeight="false" outlineLevel="0" collapsed="false">
      <c r="A90" s="31" t="s">
        <v>156</v>
      </c>
      <c r="B90" s="31" t="n">
        <v>7</v>
      </c>
      <c r="C90" s="32"/>
      <c r="D90" s="32"/>
      <c r="E90" s="32"/>
    </row>
    <row r="91" customFormat="false" ht="15" hidden="false" customHeight="false" outlineLevel="0" collapsed="false">
      <c r="A91" s="31" t="s">
        <v>156</v>
      </c>
      <c r="B91" s="31" t="n">
        <v>8</v>
      </c>
      <c r="C91" s="32"/>
      <c r="D91" s="32"/>
      <c r="E91" s="32"/>
    </row>
    <row r="92" customFormat="false" ht="15" hidden="false" customHeight="false" outlineLevel="0" collapsed="false">
      <c r="A92" s="31" t="s">
        <v>156</v>
      </c>
      <c r="B92" s="31" t="n">
        <v>9</v>
      </c>
      <c r="C92" s="32"/>
      <c r="D92" s="32"/>
      <c r="E92" s="32"/>
    </row>
    <row r="93" customFormat="false" ht="15" hidden="false" customHeight="false" outlineLevel="0" collapsed="false">
      <c r="A93" s="31" t="s">
        <v>156</v>
      </c>
      <c r="B93" s="31" t="n">
        <v>10</v>
      </c>
      <c r="C93" s="32"/>
      <c r="D93" s="32"/>
      <c r="E93" s="32"/>
    </row>
    <row r="94" customFormat="false" ht="15" hidden="false" customHeight="false" outlineLevel="0" collapsed="false">
      <c r="A94" s="31" t="s">
        <v>156</v>
      </c>
      <c r="B94" s="31" t="n">
        <v>11</v>
      </c>
      <c r="C94" s="32"/>
      <c r="D94" s="32"/>
      <c r="E94" s="32"/>
    </row>
    <row r="95" customFormat="false" ht="15" hidden="false" customHeight="false" outlineLevel="0" collapsed="false">
      <c r="A95" s="31" t="s">
        <v>156</v>
      </c>
      <c r="B95" s="31" t="n">
        <v>12</v>
      </c>
      <c r="C95" s="32"/>
      <c r="D95" s="32"/>
      <c r="E95" s="32"/>
    </row>
    <row r="96" customFormat="false" ht="15" hidden="false" customHeight="false" outlineLevel="0" collapsed="false">
      <c r="A96" s="31" t="s">
        <v>156</v>
      </c>
      <c r="B96" s="31" t="n">
        <v>13</v>
      </c>
      <c r="C96" s="32"/>
      <c r="D96" s="32"/>
      <c r="E96" s="32"/>
    </row>
  </sheetData>
  <mergeCells count="6">
    <mergeCell ref="A1:H1"/>
    <mergeCell ref="A3:H3"/>
    <mergeCell ref="B56:G56"/>
    <mergeCell ref="B57:G57"/>
    <mergeCell ref="B58:G58"/>
    <mergeCell ref="A61:H61"/>
  </mergeCells>
  <dataValidations count="2">
    <dataValidation allowBlank="true" errorStyle="stop" operator="between" showDropDown="false" showErrorMessage="false" showInputMessage="false" sqref="F14:F52" type="list">
      <formula1>"OK,Riesgo de quiebre,Riesgo de sobrestock"</formula1>
      <formula2>0</formula2>
    </dataValidation>
    <dataValidation allowBlank="true" errorStyle="stop" operator="between" showDropDown="false" showErrorMessage="false" showInputMessage="false" sqref="D14:D52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</cols>
  <sheetData>
    <row r="1" customFormat="false" ht="15" hidden="false" customHeight="true" outlineLevel="0" collapsed="false">
      <c r="A1" s="20" t="s">
        <v>199</v>
      </c>
      <c r="B1" s="20" t="s">
        <v>200</v>
      </c>
    </row>
    <row r="2" customFormat="false" ht="15" hidden="false" customHeight="true" outlineLevel="0" collapsed="false">
      <c r="A2" s="4" t="s">
        <v>201</v>
      </c>
      <c r="B2" s="4" t="s">
        <v>202</v>
      </c>
    </row>
    <row r="3" customFormat="false" ht="15" hidden="false" customHeight="true" outlineLevel="0" collapsed="false">
      <c r="A3" s="4" t="s">
        <v>203</v>
      </c>
      <c r="B3" s="4" t="s">
        <v>204</v>
      </c>
    </row>
    <row r="4" customFormat="false" ht="15" hidden="false" customHeight="true" outlineLevel="0" collapsed="false">
      <c r="A4" s="4" t="s">
        <v>205</v>
      </c>
      <c r="B4" s="4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2026-07-17T00:31:20Z</dcterms:created>
  <dc:creator>openpyxl</dc:creator>
  <dc:description/>
  <dc:language>en-US</dc:language>
  <cp:lastModifiedBy/>
  <dcterms:modified xsi:type="dcterms:W3CDTF">2026-07-19T16:31:30Z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