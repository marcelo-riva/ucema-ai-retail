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Personal\06-Proyectos\Academico\UCEMA\Backups\Caso\"/>
    </mc:Choice>
  </mc:AlternateContent>
  <xr:revisionPtr revIDLastSave="0" documentId="13_ncr:1_{14D40378-AB5D-497E-B614-C9B33DD8B2BF}" xr6:coauthVersionLast="47" xr6:coauthVersionMax="47" xr10:uidLastSave="{00000000-0000-0000-0000-000000000000}"/>
  <bookViews>
    <workbookView xWindow="-103" yWindow="-103" windowWidth="19543" windowHeight="12497" firstSheet="7" activeTab="10" xr2:uid="{00000000-000D-0000-FFFF-FFFF00000000}"/>
  </bookViews>
  <sheets>
    <sheet name="Intro" sheetId="11" r:id="rId1"/>
    <sheet name="00_General" sheetId="1" r:id="rId2"/>
    <sheet name="01_Master_Variables" sheetId="2" r:id="rId3"/>
    <sheet name="02_Pricing" sheetId="3" r:id="rId4"/>
    <sheet name="03_CatMan_DDI" sheetId="4" r:id="rId5"/>
    <sheet name="04_Digital_Logistica" sheetId="5" r:id="rId6"/>
    <sheet name="05_CLV_Marketing" sheetId="6" r:id="rId7"/>
    <sheet name="06_Red_CAPEX" sheetId="7" r:id="rId8"/>
    <sheet name="07_PL_TiposPDV" sheetId="8" r:id="rId9"/>
    <sheet name="08_Core_Financiero" sheetId="9" r:id="rId10"/>
    <sheet name="09_Dashboard" sheetId="10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2" l="1"/>
  <c r="E15" i="2"/>
  <c r="F15" i="2"/>
  <c r="G15" i="2"/>
  <c r="H15" i="2"/>
  <c r="I15" i="2"/>
  <c r="J15" i="2"/>
  <c r="K15" i="2"/>
  <c r="L15" i="2"/>
  <c r="M15" i="2"/>
  <c r="N15" i="2"/>
  <c r="O15" i="2"/>
  <c r="C15" i="2"/>
  <c r="P15" i="2"/>
  <c r="D104" i="3"/>
  <c r="E104" i="3"/>
  <c r="F104" i="3"/>
  <c r="G104" i="3"/>
  <c r="H104" i="3"/>
  <c r="I104" i="3"/>
  <c r="J104" i="3"/>
  <c r="K104" i="3"/>
  <c r="L104" i="3"/>
  <c r="M104" i="3"/>
  <c r="N104" i="3"/>
  <c r="O104" i="3"/>
  <c r="C104" i="3"/>
  <c r="O102" i="3"/>
  <c r="N102" i="3"/>
  <c r="M102" i="3"/>
  <c r="L102" i="3"/>
  <c r="K102" i="3"/>
  <c r="J102" i="3"/>
  <c r="I102" i="3"/>
  <c r="H102" i="3"/>
  <c r="G102" i="3"/>
  <c r="F102" i="3"/>
  <c r="E102" i="3"/>
  <c r="D102" i="3"/>
  <c r="C102" i="3"/>
  <c r="O101" i="3"/>
  <c r="N101" i="3"/>
  <c r="M101" i="3"/>
  <c r="L101" i="3"/>
  <c r="K101" i="3"/>
  <c r="J101" i="3"/>
  <c r="I101" i="3"/>
  <c r="H101" i="3"/>
  <c r="G101" i="3"/>
  <c r="F101" i="3"/>
  <c r="E101" i="3"/>
  <c r="D101" i="3"/>
  <c r="C101" i="3"/>
  <c r="O100" i="3"/>
  <c r="N100" i="3"/>
  <c r="M100" i="3"/>
  <c r="L100" i="3"/>
  <c r="K100" i="3"/>
  <c r="J100" i="3"/>
  <c r="I100" i="3"/>
  <c r="H100" i="3"/>
  <c r="G100" i="3"/>
  <c r="F100" i="3"/>
  <c r="E100" i="3"/>
  <c r="D100" i="3"/>
  <c r="C100" i="3"/>
  <c r="O99" i="3"/>
  <c r="N99" i="3"/>
  <c r="M99" i="3"/>
  <c r="L99" i="3"/>
  <c r="K99" i="3"/>
  <c r="J99" i="3"/>
  <c r="I99" i="3"/>
  <c r="H99" i="3"/>
  <c r="G99" i="3"/>
  <c r="F99" i="3"/>
  <c r="E99" i="3"/>
  <c r="D99" i="3"/>
  <c r="C99" i="3"/>
  <c r="O98" i="3"/>
  <c r="N98" i="3"/>
  <c r="M98" i="3"/>
  <c r="L98" i="3"/>
  <c r="K98" i="3"/>
  <c r="J98" i="3"/>
  <c r="I98" i="3"/>
  <c r="H98" i="3"/>
  <c r="G98" i="3"/>
  <c r="F98" i="3"/>
  <c r="E98" i="3"/>
  <c r="D98" i="3"/>
  <c r="C98" i="3"/>
  <c r="O97" i="3"/>
  <c r="N97" i="3"/>
  <c r="M97" i="3"/>
  <c r="L97" i="3"/>
  <c r="K97" i="3"/>
  <c r="J97" i="3"/>
  <c r="I97" i="3"/>
  <c r="H97" i="3"/>
  <c r="G97" i="3"/>
  <c r="F97" i="3"/>
  <c r="E97" i="3"/>
  <c r="D97" i="3"/>
  <c r="C97" i="3"/>
  <c r="O96" i="3"/>
  <c r="N96" i="3"/>
  <c r="M96" i="3"/>
  <c r="L96" i="3"/>
  <c r="K96" i="3"/>
  <c r="J96" i="3"/>
  <c r="I96" i="3"/>
  <c r="H96" i="3"/>
  <c r="G96" i="3"/>
  <c r="F96" i="3"/>
  <c r="E96" i="3"/>
  <c r="D96" i="3"/>
  <c r="C96" i="3"/>
  <c r="O95" i="3"/>
  <c r="N95" i="3"/>
  <c r="M95" i="3"/>
  <c r="L95" i="3"/>
  <c r="K95" i="3"/>
  <c r="J95" i="3"/>
  <c r="I95" i="3"/>
  <c r="H95" i="3"/>
  <c r="G95" i="3"/>
  <c r="F95" i="3"/>
  <c r="E95" i="3"/>
  <c r="D95" i="3"/>
  <c r="C95" i="3"/>
  <c r="O94" i="3"/>
  <c r="N94" i="3"/>
  <c r="M94" i="3"/>
  <c r="L94" i="3"/>
  <c r="K94" i="3"/>
  <c r="J94" i="3"/>
  <c r="I94" i="3"/>
  <c r="H94" i="3"/>
  <c r="G94" i="3"/>
  <c r="F94" i="3"/>
  <c r="E94" i="3"/>
  <c r="D94" i="3"/>
  <c r="C94" i="3"/>
  <c r="O93" i="3"/>
  <c r="N93" i="3"/>
  <c r="M93" i="3"/>
  <c r="L93" i="3"/>
  <c r="K93" i="3"/>
  <c r="J93" i="3"/>
  <c r="I93" i="3"/>
  <c r="H93" i="3"/>
  <c r="G93" i="3"/>
  <c r="F93" i="3"/>
  <c r="E93" i="3"/>
  <c r="D93" i="3"/>
  <c r="C93" i="3"/>
  <c r="O92" i="3"/>
  <c r="N92" i="3"/>
  <c r="M92" i="3"/>
  <c r="L92" i="3"/>
  <c r="K92" i="3"/>
  <c r="J92" i="3"/>
  <c r="I92" i="3"/>
  <c r="H92" i="3"/>
  <c r="G92" i="3"/>
  <c r="F92" i="3"/>
  <c r="E92" i="3"/>
  <c r="D92" i="3"/>
  <c r="C92" i="3"/>
  <c r="Q20" i="8"/>
  <c r="Q21" i="8"/>
  <c r="Q23" i="8"/>
  <c r="Q24" i="8"/>
  <c r="Q25" i="8"/>
  <c r="Q26" i="8"/>
  <c r="Q19" i="8"/>
  <c r="C13" i="2"/>
  <c r="I15" i="7"/>
  <c r="H15" i="7"/>
  <c r="P40" i="6"/>
  <c r="P41" i="6"/>
  <c r="P39" i="6"/>
  <c r="P49" i="6"/>
  <c r="P48" i="6"/>
  <c r="P47" i="6"/>
  <c r="G7" i="7"/>
  <c r="G8" i="7"/>
  <c r="G10" i="7"/>
  <c r="G11" i="7"/>
  <c r="G12" i="7"/>
  <c r="G13" i="7"/>
  <c r="G6" i="7"/>
  <c r="E7" i="7"/>
  <c r="F7" i="7"/>
  <c r="E8" i="7"/>
  <c r="F8" i="7"/>
  <c r="F9" i="7"/>
  <c r="E10" i="7"/>
  <c r="F10" i="7"/>
  <c r="E11" i="7"/>
  <c r="F11" i="7"/>
  <c r="E12" i="7"/>
  <c r="F12" i="7"/>
  <c r="E13" i="7"/>
  <c r="F13" i="7"/>
  <c r="F6" i="7"/>
  <c r="E6" i="7"/>
  <c r="P13" i="2"/>
  <c r="P9" i="2"/>
  <c r="E13" i="2"/>
  <c r="F13" i="2"/>
  <c r="G13" i="2"/>
  <c r="H13" i="2"/>
  <c r="I13" i="2"/>
  <c r="J13" i="2"/>
  <c r="K13" i="2"/>
  <c r="L13" i="2"/>
  <c r="M13" i="2"/>
  <c r="N13" i="2"/>
  <c r="O13" i="2"/>
  <c r="D13" i="2"/>
  <c r="P57" i="6"/>
  <c r="P54" i="6"/>
  <c r="P55" i="6"/>
  <c r="P56" i="6"/>
  <c r="P53" i="6"/>
  <c r="E56" i="6"/>
  <c r="F56" i="6"/>
  <c r="G56" i="6"/>
  <c r="H56" i="6"/>
  <c r="I56" i="6"/>
  <c r="J56" i="6"/>
  <c r="K56" i="6"/>
  <c r="L56" i="6"/>
  <c r="M56" i="6"/>
  <c r="N56" i="6"/>
  <c r="O56" i="6"/>
  <c r="D56" i="6"/>
  <c r="C33" i="6"/>
  <c r="C34" i="6"/>
  <c r="C32" i="6"/>
  <c r="D26" i="6"/>
  <c r="E26" i="6"/>
  <c r="F26" i="6"/>
  <c r="G26" i="6"/>
  <c r="H26" i="6"/>
  <c r="I26" i="6"/>
  <c r="J26" i="6"/>
  <c r="K26" i="6"/>
  <c r="L26" i="6"/>
  <c r="M26" i="6"/>
  <c r="N26" i="6"/>
  <c r="O26" i="6"/>
  <c r="D27" i="6"/>
  <c r="E27" i="6"/>
  <c r="F27" i="6"/>
  <c r="G27" i="6"/>
  <c r="H27" i="6"/>
  <c r="I27" i="6"/>
  <c r="J27" i="6"/>
  <c r="K27" i="6"/>
  <c r="L27" i="6"/>
  <c r="M27" i="6"/>
  <c r="N27" i="6"/>
  <c r="O27" i="6"/>
  <c r="D25" i="6"/>
  <c r="E25" i="6"/>
  <c r="F25" i="6"/>
  <c r="G25" i="6"/>
  <c r="H25" i="6"/>
  <c r="I25" i="6"/>
  <c r="J25" i="6"/>
  <c r="K25" i="6"/>
  <c r="L25" i="6"/>
  <c r="M25" i="6"/>
  <c r="N25" i="6"/>
  <c r="O25" i="6"/>
  <c r="O22" i="6"/>
  <c r="N22" i="6"/>
  <c r="M22" i="6"/>
  <c r="L22" i="6"/>
  <c r="K22" i="6"/>
  <c r="J22" i="6"/>
  <c r="I22" i="6"/>
  <c r="H22" i="6"/>
  <c r="G22" i="6"/>
  <c r="F22" i="6"/>
  <c r="E22" i="6"/>
  <c r="D22" i="6"/>
  <c r="C22" i="6"/>
  <c r="C40" i="6"/>
  <c r="C41" i="6"/>
  <c r="C39" i="6"/>
  <c r="G8" i="6"/>
  <c r="D6" i="6"/>
  <c r="D7" i="6"/>
  <c r="D5" i="6"/>
  <c r="E35" i="7"/>
  <c r="F35" i="7"/>
  <c r="G35" i="7"/>
  <c r="H35" i="7"/>
  <c r="E36" i="7"/>
  <c r="F36" i="7"/>
  <c r="G36" i="7"/>
  <c r="E37" i="7"/>
  <c r="F37" i="7"/>
  <c r="G37" i="7"/>
  <c r="H37" i="7"/>
  <c r="I37" i="7"/>
  <c r="J37" i="7"/>
  <c r="E38" i="7"/>
  <c r="F38" i="7"/>
  <c r="G38" i="7"/>
  <c r="H38" i="7"/>
  <c r="I38" i="7"/>
  <c r="J38" i="7"/>
  <c r="K38" i="7"/>
  <c r="L38" i="7"/>
  <c r="M38" i="7"/>
  <c r="N38" i="7"/>
  <c r="O38" i="7"/>
  <c r="E39" i="7"/>
  <c r="F39" i="7"/>
  <c r="G39" i="7"/>
  <c r="H39" i="7"/>
  <c r="I39" i="7"/>
  <c r="J39" i="7"/>
  <c r="K39" i="7"/>
  <c r="L39" i="7"/>
  <c r="M39" i="7"/>
  <c r="N39" i="7"/>
  <c r="O39" i="7"/>
  <c r="P39" i="7"/>
  <c r="E40" i="7"/>
  <c r="F40" i="7"/>
  <c r="G40" i="7"/>
  <c r="H40" i="7"/>
  <c r="I40" i="7"/>
  <c r="J40" i="7"/>
  <c r="K40" i="7"/>
  <c r="L40" i="7"/>
  <c r="M40" i="7"/>
  <c r="N40" i="7"/>
  <c r="O40" i="7"/>
  <c r="P40" i="7"/>
  <c r="E41" i="7"/>
  <c r="F41" i="7"/>
  <c r="G41" i="7"/>
  <c r="H41" i="7"/>
  <c r="I41" i="7"/>
  <c r="J41" i="7"/>
  <c r="K41" i="7"/>
  <c r="L41" i="7"/>
  <c r="M41" i="7"/>
  <c r="N41" i="7"/>
  <c r="O41" i="7"/>
  <c r="P41" i="7"/>
  <c r="B26" i="8"/>
  <c r="B25" i="8"/>
  <c r="B24" i="8"/>
  <c r="B23" i="8"/>
  <c r="B22" i="8"/>
  <c r="B21" i="8"/>
  <c r="B20" i="8"/>
  <c r="B19" i="8"/>
  <c r="E79" i="7"/>
  <c r="F79" i="7"/>
  <c r="G79" i="7"/>
  <c r="H79" i="7"/>
  <c r="I79" i="7"/>
  <c r="J79" i="7"/>
  <c r="K79" i="7"/>
  <c r="L79" i="7"/>
  <c r="M79" i="7"/>
  <c r="N79" i="7"/>
  <c r="O79" i="7"/>
  <c r="P79" i="7"/>
  <c r="E80" i="7"/>
  <c r="F80" i="7"/>
  <c r="G80" i="7"/>
  <c r="H80" i="7"/>
  <c r="I80" i="7"/>
  <c r="J80" i="7"/>
  <c r="K80" i="7"/>
  <c r="L80" i="7"/>
  <c r="M80" i="7"/>
  <c r="N80" i="7"/>
  <c r="O80" i="7"/>
  <c r="P80" i="7"/>
  <c r="E81" i="7"/>
  <c r="F81" i="7"/>
  <c r="G81" i="7"/>
  <c r="H81" i="7"/>
  <c r="I81" i="7"/>
  <c r="J81" i="7"/>
  <c r="K81" i="7"/>
  <c r="L81" i="7"/>
  <c r="M81" i="7"/>
  <c r="N81" i="7"/>
  <c r="O81" i="7"/>
  <c r="P81" i="7"/>
  <c r="E82" i="7"/>
  <c r="F82" i="7"/>
  <c r="G82" i="7"/>
  <c r="H82" i="7"/>
  <c r="I82" i="7"/>
  <c r="J82" i="7"/>
  <c r="K82" i="7"/>
  <c r="L82" i="7"/>
  <c r="M82" i="7"/>
  <c r="N82" i="7"/>
  <c r="O82" i="7"/>
  <c r="P82" i="7"/>
  <c r="E83" i="7"/>
  <c r="F83" i="7"/>
  <c r="G83" i="7"/>
  <c r="H83" i="7"/>
  <c r="I83" i="7"/>
  <c r="J83" i="7"/>
  <c r="K83" i="7"/>
  <c r="L83" i="7"/>
  <c r="M83" i="7"/>
  <c r="N83" i="7"/>
  <c r="O83" i="7"/>
  <c r="P83" i="7"/>
  <c r="E84" i="7"/>
  <c r="F84" i="7"/>
  <c r="G84" i="7"/>
  <c r="H84" i="7"/>
  <c r="I84" i="7"/>
  <c r="J84" i="7"/>
  <c r="K84" i="7"/>
  <c r="L84" i="7"/>
  <c r="M84" i="7"/>
  <c r="N84" i="7"/>
  <c r="O84" i="7"/>
  <c r="P84" i="7"/>
  <c r="E85" i="7"/>
  <c r="F85" i="7"/>
  <c r="G85" i="7"/>
  <c r="H85" i="7"/>
  <c r="I85" i="7"/>
  <c r="J85" i="7"/>
  <c r="K85" i="7"/>
  <c r="L85" i="7"/>
  <c r="M85" i="7"/>
  <c r="N85" i="7"/>
  <c r="O85" i="7"/>
  <c r="P85" i="7"/>
  <c r="F78" i="7"/>
  <c r="G78" i="7"/>
  <c r="H78" i="7"/>
  <c r="I78" i="7"/>
  <c r="J78" i="7"/>
  <c r="K78" i="7"/>
  <c r="L78" i="7"/>
  <c r="M78" i="7"/>
  <c r="N78" i="7"/>
  <c r="O78" i="7"/>
  <c r="P78" i="7"/>
  <c r="E78" i="7"/>
  <c r="P87" i="7"/>
  <c r="O87" i="7"/>
  <c r="N87" i="7"/>
  <c r="M87" i="7"/>
  <c r="L87" i="7"/>
  <c r="K87" i="7"/>
  <c r="J87" i="7"/>
  <c r="I87" i="7"/>
  <c r="H87" i="7"/>
  <c r="G87" i="7"/>
  <c r="F87" i="7"/>
  <c r="E87" i="7"/>
  <c r="D87" i="7"/>
  <c r="Q55" i="7"/>
  <c r="Q54" i="7"/>
  <c r="Q53" i="7"/>
  <c r="Q52" i="7"/>
  <c r="Q51" i="7"/>
  <c r="Q50" i="7"/>
  <c r="Q49" i="7"/>
  <c r="Q48" i="7"/>
  <c r="E63" i="7"/>
  <c r="E64" i="7"/>
  <c r="E65" i="7"/>
  <c r="E66" i="7"/>
  <c r="E67" i="7"/>
  <c r="E68" i="7"/>
  <c r="E69" i="7"/>
  <c r="E62" i="7"/>
  <c r="E34" i="7"/>
  <c r="Q21" i="7"/>
  <c r="Q22" i="7"/>
  <c r="Q23" i="7"/>
  <c r="Q24" i="7"/>
  <c r="Q25" i="7"/>
  <c r="Q26" i="7"/>
  <c r="Q27" i="7"/>
  <c r="Q20" i="7"/>
  <c r="D71" i="7"/>
  <c r="P57" i="7"/>
  <c r="O57" i="7"/>
  <c r="N57" i="7"/>
  <c r="M57" i="7"/>
  <c r="L57" i="7"/>
  <c r="K57" i="7"/>
  <c r="J57" i="7"/>
  <c r="I57" i="7"/>
  <c r="H57" i="7"/>
  <c r="G57" i="7"/>
  <c r="F57" i="7"/>
  <c r="E57" i="7"/>
  <c r="D57" i="7"/>
  <c r="D43" i="7"/>
  <c r="E29" i="7"/>
  <c r="F29" i="7"/>
  <c r="G29" i="7"/>
  <c r="H29" i="7"/>
  <c r="I29" i="7"/>
  <c r="J29" i="7"/>
  <c r="K29" i="7"/>
  <c r="L29" i="7"/>
  <c r="M29" i="7"/>
  <c r="N29" i="7"/>
  <c r="O29" i="7"/>
  <c r="P29" i="7"/>
  <c r="D29" i="7"/>
  <c r="D41" i="4"/>
  <c r="E41" i="4"/>
  <c r="F41" i="4"/>
  <c r="G41" i="4"/>
  <c r="H41" i="4"/>
  <c r="I41" i="4"/>
  <c r="J41" i="4"/>
  <c r="K41" i="4"/>
  <c r="L41" i="4"/>
  <c r="M41" i="4"/>
  <c r="N41" i="4"/>
  <c r="O41" i="4"/>
  <c r="D42" i="4"/>
  <c r="E42" i="4"/>
  <c r="F42" i="4"/>
  <c r="G42" i="4"/>
  <c r="H42" i="4"/>
  <c r="I42" i="4"/>
  <c r="J42" i="4"/>
  <c r="K42" i="4"/>
  <c r="L42" i="4"/>
  <c r="M42" i="4"/>
  <c r="N42" i="4"/>
  <c r="O42" i="4"/>
  <c r="D43" i="4"/>
  <c r="E43" i="4"/>
  <c r="F43" i="4"/>
  <c r="G43" i="4"/>
  <c r="H43" i="4"/>
  <c r="I43" i="4"/>
  <c r="J43" i="4"/>
  <c r="K43" i="4"/>
  <c r="L43" i="4"/>
  <c r="M43" i="4"/>
  <c r="N43" i="4"/>
  <c r="O43" i="4"/>
  <c r="D44" i="4"/>
  <c r="E44" i="4"/>
  <c r="F44" i="4"/>
  <c r="G44" i="4"/>
  <c r="H44" i="4"/>
  <c r="I44" i="4"/>
  <c r="J44" i="4"/>
  <c r="K44" i="4"/>
  <c r="L44" i="4"/>
  <c r="M44" i="4"/>
  <c r="N44" i="4"/>
  <c r="O44" i="4"/>
  <c r="D45" i="4"/>
  <c r="E45" i="4"/>
  <c r="F45" i="4"/>
  <c r="G45" i="4"/>
  <c r="H45" i="4"/>
  <c r="I45" i="4"/>
  <c r="J45" i="4"/>
  <c r="K45" i="4"/>
  <c r="L45" i="4"/>
  <c r="M45" i="4"/>
  <c r="N45" i="4"/>
  <c r="O45" i="4"/>
  <c r="D46" i="4"/>
  <c r="E46" i="4"/>
  <c r="F46" i="4"/>
  <c r="G46" i="4"/>
  <c r="H46" i="4"/>
  <c r="I46" i="4"/>
  <c r="J46" i="4"/>
  <c r="K46" i="4"/>
  <c r="L46" i="4"/>
  <c r="M46" i="4"/>
  <c r="N46" i="4"/>
  <c r="O46" i="4"/>
  <c r="D47" i="4"/>
  <c r="E47" i="4"/>
  <c r="F47" i="4"/>
  <c r="G47" i="4"/>
  <c r="H47" i="4"/>
  <c r="I47" i="4"/>
  <c r="J47" i="4"/>
  <c r="K47" i="4"/>
  <c r="L47" i="4"/>
  <c r="M47" i="4"/>
  <c r="N47" i="4"/>
  <c r="O47" i="4"/>
  <c r="D48" i="4"/>
  <c r="E48" i="4"/>
  <c r="F48" i="4"/>
  <c r="G48" i="4"/>
  <c r="H48" i="4"/>
  <c r="I48" i="4"/>
  <c r="J48" i="4"/>
  <c r="K48" i="4"/>
  <c r="L48" i="4"/>
  <c r="M48" i="4"/>
  <c r="N48" i="4"/>
  <c r="O48" i="4"/>
  <c r="D49" i="4"/>
  <c r="E49" i="4"/>
  <c r="F49" i="4"/>
  <c r="G49" i="4"/>
  <c r="H49" i="4"/>
  <c r="I49" i="4"/>
  <c r="J49" i="4"/>
  <c r="K49" i="4"/>
  <c r="L49" i="4"/>
  <c r="M49" i="4"/>
  <c r="N49" i="4"/>
  <c r="O49" i="4"/>
  <c r="D50" i="4"/>
  <c r="E50" i="4"/>
  <c r="F50" i="4"/>
  <c r="G50" i="4"/>
  <c r="H50" i="4"/>
  <c r="I50" i="4"/>
  <c r="J50" i="4"/>
  <c r="K50" i="4"/>
  <c r="L50" i="4"/>
  <c r="M50" i="4"/>
  <c r="N50" i="4"/>
  <c r="O50" i="4"/>
  <c r="E40" i="4"/>
  <c r="F40" i="4"/>
  <c r="G40" i="4"/>
  <c r="H40" i="4"/>
  <c r="I40" i="4"/>
  <c r="J40" i="4"/>
  <c r="K40" i="4"/>
  <c r="L40" i="4"/>
  <c r="M40" i="4"/>
  <c r="N40" i="4"/>
  <c r="O40" i="4"/>
  <c r="D40" i="4"/>
  <c r="T13" i="8"/>
  <c r="T12" i="8"/>
  <c r="E7" i="8"/>
  <c r="E8" i="8"/>
  <c r="E9" i="8"/>
  <c r="E10" i="8"/>
  <c r="E11" i="8"/>
  <c r="E12" i="8"/>
  <c r="E13" i="8"/>
  <c r="E6" i="8"/>
  <c r="S9" i="8"/>
  <c r="S8" i="8"/>
  <c r="R9" i="8"/>
  <c r="R8" i="8"/>
  <c r="Q9" i="8"/>
  <c r="Q8" i="8"/>
  <c r="H7" i="3"/>
  <c r="H8" i="3"/>
  <c r="H9" i="3"/>
  <c r="H10" i="3"/>
  <c r="H11" i="3"/>
  <c r="H12" i="3"/>
  <c r="H13" i="3"/>
  <c r="H14" i="3"/>
  <c r="H15" i="3"/>
  <c r="H16" i="3"/>
  <c r="H6" i="3"/>
  <c r="D11" i="1"/>
  <c r="N42" i="3" l="1"/>
  <c r="O42" i="3"/>
  <c r="K43" i="3"/>
  <c r="L43" i="3"/>
  <c r="M43" i="3"/>
  <c r="N43" i="3"/>
  <c r="O43" i="3"/>
  <c r="K44" i="3"/>
  <c r="L44" i="3"/>
  <c r="M44" i="3"/>
  <c r="N44" i="3"/>
  <c r="O44" i="3"/>
  <c r="K45" i="3"/>
  <c r="L45" i="3"/>
  <c r="M45" i="3"/>
  <c r="N45" i="3"/>
  <c r="O45" i="3"/>
  <c r="K46" i="3"/>
  <c r="L46" i="3"/>
  <c r="M46" i="3"/>
  <c r="N46" i="3"/>
  <c r="O46" i="3"/>
  <c r="K47" i="3"/>
  <c r="L47" i="3"/>
  <c r="M47" i="3"/>
  <c r="N47" i="3"/>
  <c r="O47" i="3"/>
  <c r="K48" i="3"/>
  <c r="L48" i="3"/>
  <c r="M48" i="3"/>
  <c r="N48" i="3"/>
  <c r="O48" i="3"/>
  <c r="K49" i="3"/>
  <c r="L49" i="3"/>
  <c r="M49" i="3"/>
  <c r="N49" i="3"/>
  <c r="O49" i="3"/>
  <c r="K50" i="3"/>
  <c r="L50" i="3"/>
  <c r="M50" i="3"/>
  <c r="N50" i="3"/>
  <c r="O50" i="3"/>
  <c r="K51" i="3"/>
  <c r="L51" i="3"/>
  <c r="M51" i="3"/>
  <c r="N51" i="3"/>
  <c r="O51" i="3"/>
  <c r="K58" i="3"/>
  <c r="L58" i="3"/>
  <c r="M58" i="3"/>
  <c r="N58" i="3"/>
  <c r="O58" i="3"/>
  <c r="K59" i="3"/>
  <c r="L59" i="3"/>
  <c r="M59" i="3"/>
  <c r="N59" i="3"/>
  <c r="N76" i="3" s="1"/>
  <c r="O59" i="3"/>
  <c r="O76" i="3" s="1"/>
  <c r="K60" i="3"/>
  <c r="K77" i="3" s="1"/>
  <c r="L60" i="3"/>
  <c r="L77" i="3" s="1"/>
  <c r="M60" i="3"/>
  <c r="M77" i="3" s="1"/>
  <c r="N60" i="3"/>
  <c r="N77" i="3" s="1"/>
  <c r="O60" i="3"/>
  <c r="O77" i="3" s="1"/>
  <c r="K61" i="3"/>
  <c r="K78" i="3" s="1"/>
  <c r="L61" i="3"/>
  <c r="L78" i="3" s="1"/>
  <c r="M61" i="3"/>
  <c r="M78" i="3" s="1"/>
  <c r="N61" i="3"/>
  <c r="N78" i="3" s="1"/>
  <c r="O61" i="3"/>
  <c r="O78" i="3" s="1"/>
  <c r="K62" i="3"/>
  <c r="K79" i="3" s="1"/>
  <c r="L62" i="3"/>
  <c r="L79" i="3" s="1"/>
  <c r="M62" i="3"/>
  <c r="M79" i="3" s="1"/>
  <c r="N62" i="3"/>
  <c r="O62" i="3"/>
  <c r="K63" i="3"/>
  <c r="L63" i="3"/>
  <c r="M63" i="3"/>
  <c r="N63" i="3"/>
  <c r="O63" i="3"/>
  <c r="K64" i="3"/>
  <c r="L64" i="3"/>
  <c r="M64" i="3"/>
  <c r="N64" i="3"/>
  <c r="O64" i="3"/>
  <c r="K65" i="3"/>
  <c r="L65" i="3"/>
  <c r="M65" i="3"/>
  <c r="N65" i="3"/>
  <c r="O65" i="3"/>
  <c r="K66" i="3"/>
  <c r="L66" i="3"/>
  <c r="M66" i="3"/>
  <c r="N66" i="3"/>
  <c r="O66" i="3"/>
  <c r="K67" i="3"/>
  <c r="L67" i="3"/>
  <c r="M67" i="3"/>
  <c r="N67" i="3"/>
  <c r="O67" i="3"/>
  <c r="K68" i="3"/>
  <c r="L68" i="3"/>
  <c r="M68" i="3"/>
  <c r="N68" i="3"/>
  <c r="O68" i="3"/>
  <c r="K37" i="7"/>
  <c r="L37" i="7" s="1"/>
  <c r="M37" i="7" s="1"/>
  <c r="N37" i="7" s="1"/>
  <c r="O37" i="7" s="1"/>
  <c r="P37" i="7" s="1"/>
  <c r="E9" i="7"/>
  <c r="G9" i="7" s="1"/>
  <c r="K41" i="3"/>
  <c r="L41" i="3"/>
  <c r="M41" i="3"/>
  <c r="N41" i="3"/>
  <c r="O41" i="3"/>
  <c r="K42" i="3"/>
  <c r="K76" i="3" s="1"/>
  <c r="L42" i="3"/>
  <c r="L76" i="3" s="1"/>
  <c r="M42" i="3"/>
  <c r="M76" i="3" s="1"/>
  <c r="N79" i="3"/>
  <c r="O79" i="3"/>
  <c r="K80" i="3"/>
  <c r="L80" i="3"/>
  <c r="M80" i="3"/>
  <c r="N80" i="3"/>
  <c r="O80" i="3"/>
  <c r="K81" i="3"/>
  <c r="L81" i="3"/>
  <c r="M81" i="3"/>
  <c r="N81" i="3"/>
  <c r="O81" i="3"/>
  <c r="K82" i="3"/>
  <c r="L82" i="3"/>
  <c r="M82" i="3"/>
  <c r="N82" i="3"/>
  <c r="O82" i="3"/>
  <c r="K83" i="3"/>
  <c r="L83" i="3"/>
  <c r="M83" i="3"/>
  <c r="N83" i="3"/>
  <c r="O83" i="3"/>
  <c r="K84" i="3"/>
  <c r="L84" i="3"/>
  <c r="M84" i="3"/>
  <c r="N84" i="3"/>
  <c r="O84" i="3"/>
  <c r="K85" i="3"/>
  <c r="L85" i="3"/>
  <c r="M85" i="3"/>
  <c r="N85" i="3"/>
  <c r="O85" i="3"/>
  <c r="C68" i="3"/>
  <c r="C66" i="3"/>
  <c r="C64" i="3"/>
  <c r="C62" i="3"/>
  <c r="C61" i="3"/>
  <c r="C59" i="3"/>
  <c r="C67" i="3"/>
  <c r="C65" i="3"/>
  <c r="C63" i="3"/>
  <c r="C60" i="3"/>
  <c r="C58" i="3"/>
  <c r="P38" i="7"/>
  <c r="H36" i="7"/>
  <c r="I36" i="7" s="1"/>
  <c r="J36" i="7" s="1"/>
  <c r="K36" i="7" s="1"/>
  <c r="L36" i="7" s="1"/>
  <c r="M36" i="7" s="1"/>
  <c r="N36" i="7" s="1"/>
  <c r="O36" i="7" s="1"/>
  <c r="P36" i="7" s="1"/>
  <c r="F34" i="7"/>
  <c r="G34" i="7" s="1"/>
  <c r="H34" i="7" s="1"/>
  <c r="I34" i="7" s="1"/>
  <c r="J34" i="7" s="1"/>
  <c r="K34" i="7" s="1"/>
  <c r="L34" i="7" s="1"/>
  <c r="M34" i="7" s="1"/>
  <c r="N34" i="7" s="1"/>
  <c r="O34" i="7" s="1"/>
  <c r="P34" i="7" s="1"/>
  <c r="D14" i="2"/>
  <c r="F14" i="2"/>
  <c r="H14" i="2"/>
  <c r="J14" i="2"/>
  <c r="L14" i="2"/>
  <c r="N14" i="2"/>
  <c r="C14" i="2"/>
  <c r="D20" i="8"/>
  <c r="D21" i="8"/>
  <c r="D22" i="8"/>
  <c r="D23" i="8"/>
  <c r="D24" i="8"/>
  <c r="D25" i="8"/>
  <c r="D26" i="8"/>
  <c r="D19" i="8"/>
  <c r="F63" i="7"/>
  <c r="G63" i="7" s="1"/>
  <c r="H63" i="7" s="1"/>
  <c r="I63" i="7" s="1"/>
  <c r="J63" i="7" s="1"/>
  <c r="K63" i="7" s="1"/>
  <c r="L63" i="7" s="1"/>
  <c r="M63" i="7" s="1"/>
  <c r="N63" i="7" s="1"/>
  <c r="O63" i="7" s="1"/>
  <c r="P63" i="7" s="1"/>
  <c r="F64" i="7"/>
  <c r="G64" i="7" s="1"/>
  <c r="H64" i="7" s="1"/>
  <c r="I64" i="7" s="1"/>
  <c r="J64" i="7" s="1"/>
  <c r="K64" i="7" s="1"/>
  <c r="L64" i="7" s="1"/>
  <c r="M64" i="7" s="1"/>
  <c r="N64" i="7" s="1"/>
  <c r="O64" i="7" s="1"/>
  <c r="P64" i="7" s="1"/>
  <c r="F65" i="7"/>
  <c r="G65" i="7" s="1"/>
  <c r="H65" i="7" s="1"/>
  <c r="I65" i="7" s="1"/>
  <c r="J65" i="7" s="1"/>
  <c r="K65" i="7" s="1"/>
  <c r="L65" i="7" s="1"/>
  <c r="F66" i="7"/>
  <c r="G66" i="7" s="1"/>
  <c r="H66" i="7" s="1"/>
  <c r="I66" i="7" s="1"/>
  <c r="J66" i="7" s="1"/>
  <c r="K66" i="7" s="1"/>
  <c r="L66" i="7" s="1"/>
  <c r="M66" i="7" s="1"/>
  <c r="F67" i="7"/>
  <c r="F68" i="7"/>
  <c r="F69" i="7"/>
  <c r="F62" i="7"/>
  <c r="G62" i="7" s="1"/>
  <c r="H62" i="7" s="1"/>
  <c r="I62" i="7" s="1"/>
  <c r="J62" i="7" s="1"/>
  <c r="K62" i="7" s="1"/>
  <c r="L62" i="7" s="1"/>
  <c r="M62" i="7" s="1"/>
  <c r="N62" i="7" s="1"/>
  <c r="O62" i="7" s="1"/>
  <c r="P62" i="7" s="1"/>
  <c r="E14" i="2"/>
  <c r="G14" i="2"/>
  <c r="I14" i="2"/>
  <c r="K14" i="2"/>
  <c r="M14" i="2"/>
  <c r="O14" i="2"/>
  <c r="F7" i="6"/>
  <c r="A55" i="6" s="1"/>
  <c r="D33" i="6"/>
  <c r="F6" i="6"/>
  <c r="A54" i="6" s="1"/>
  <c r="F5" i="6"/>
  <c r="D34" i="6"/>
  <c r="D32" i="6"/>
  <c r="E34" i="6"/>
  <c r="E33" i="6"/>
  <c r="C36" i="6"/>
  <c r="D40" i="6"/>
  <c r="D41" i="6"/>
  <c r="D39" i="6"/>
  <c r="C43" i="6"/>
  <c r="Q41" i="7"/>
  <c r="Q40" i="7"/>
  <c r="Q39" i="7"/>
  <c r="Q38" i="7"/>
  <c r="Q36" i="7"/>
  <c r="G43" i="7"/>
  <c r="F43" i="7"/>
  <c r="E43" i="7"/>
  <c r="I35" i="7"/>
  <c r="Q34" i="7"/>
  <c r="H43" i="7"/>
  <c r="E14" i="8"/>
  <c r="Q83" i="7"/>
  <c r="Q82" i="7"/>
  <c r="Q78" i="7"/>
  <c r="Q81" i="7"/>
  <c r="Q80" i="7"/>
  <c r="Q85" i="7"/>
  <c r="Q84" i="7"/>
  <c r="Q79" i="7"/>
  <c r="Q57" i="7"/>
  <c r="E71" i="7"/>
  <c r="E73" i="7" s="1"/>
  <c r="Q29" i="7"/>
  <c r="D44" i="3"/>
  <c r="F44" i="3"/>
  <c r="H44" i="3"/>
  <c r="J44" i="3"/>
  <c r="D45" i="3"/>
  <c r="G45" i="3"/>
  <c r="I45" i="3"/>
  <c r="J45" i="3"/>
  <c r="E46" i="3"/>
  <c r="F46" i="3"/>
  <c r="H46" i="3"/>
  <c r="J46" i="3"/>
  <c r="D47" i="3"/>
  <c r="F47" i="3"/>
  <c r="H47" i="3"/>
  <c r="J47" i="3"/>
  <c r="D48" i="3"/>
  <c r="F48" i="3"/>
  <c r="H48" i="3"/>
  <c r="J48" i="3"/>
  <c r="D49" i="3"/>
  <c r="G49" i="3"/>
  <c r="H49" i="3"/>
  <c r="J49" i="3"/>
  <c r="E50" i="3"/>
  <c r="H50" i="3"/>
  <c r="E51" i="3"/>
  <c r="G51" i="3"/>
  <c r="I51" i="3"/>
  <c r="J51" i="3"/>
  <c r="E41" i="3"/>
  <c r="H41" i="3"/>
  <c r="J41" i="3"/>
  <c r="D59" i="3"/>
  <c r="E59" i="3"/>
  <c r="F59" i="3"/>
  <c r="G59" i="3"/>
  <c r="H59" i="3"/>
  <c r="I59" i="3"/>
  <c r="J59" i="3"/>
  <c r="D60" i="3"/>
  <c r="E60" i="3"/>
  <c r="F60" i="3"/>
  <c r="G60" i="3"/>
  <c r="H60" i="3"/>
  <c r="I60" i="3"/>
  <c r="J60" i="3"/>
  <c r="D61" i="3"/>
  <c r="D78" i="3" s="1"/>
  <c r="E61" i="3"/>
  <c r="F61" i="3"/>
  <c r="G61" i="3"/>
  <c r="H61" i="3"/>
  <c r="I61" i="3"/>
  <c r="J61" i="3"/>
  <c r="D62" i="3"/>
  <c r="E62" i="3"/>
  <c r="F62" i="3"/>
  <c r="G62" i="3"/>
  <c r="H62" i="3"/>
  <c r="I62" i="3"/>
  <c r="J62" i="3"/>
  <c r="D63" i="3"/>
  <c r="E63" i="3"/>
  <c r="F63" i="3"/>
  <c r="G63" i="3"/>
  <c r="H63" i="3"/>
  <c r="I63" i="3"/>
  <c r="J63" i="3"/>
  <c r="D64" i="3"/>
  <c r="E64" i="3"/>
  <c r="F64" i="3"/>
  <c r="G64" i="3"/>
  <c r="H64" i="3"/>
  <c r="I64" i="3"/>
  <c r="J64" i="3"/>
  <c r="D65" i="3"/>
  <c r="E65" i="3"/>
  <c r="F65" i="3"/>
  <c r="G65" i="3"/>
  <c r="H65" i="3"/>
  <c r="I65" i="3"/>
  <c r="J65" i="3"/>
  <c r="D66" i="3"/>
  <c r="E66" i="3"/>
  <c r="F66" i="3"/>
  <c r="G66" i="3"/>
  <c r="H66" i="3"/>
  <c r="I66" i="3"/>
  <c r="J66" i="3"/>
  <c r="D67" i="3"/>
  <c r="E67" i="3"/>
  <c r="F67" i="3"/>
  <c r="G67" i="3"/>
  <c r="H67" i="3"/>
  <c r="I67" i="3"/>
  <c r="J67" i="3"/>
  <c r="D68" i="3"/>
  <c r="E68" i="3"/>
  <c r="F68" i="3"/>
  <c r="G68" i="3"/>
  <c r="H68" i="3"/>
  <c r="I68" i="3"/>
  <c r="J68" i="3"/>
  <c r="E58" i="3"/>
  <c r="E75" i="3" s="1"/>
  <c r="F58" i="3"/>
  <c r="G58" i="3"/>
  <c r="H58" i="3"/>
  <c r="H75" i="3" s="1"/>
  <c r="I58" i="3"/>
  <c r="J58" i="3"/>
  <c r="J75" i="3" s="1"/>
  <c r="D58" i="3"/>
  <c r="D41" i="3"/>
  <c r="D42" i="3"/>
  <c r="D58" i="4" s="1"/>
  <c r="E42" i="3"/>
  <c r="F42" i="3"/>
  <c r="G42" i="3"/>
  <c r="H42" i="3"/>
  <c r="I42" i="3"/>
  <c r="J42" i="3"/>
  <c r="D43" i="3"/>
  <c r="E43" i="3"/>
  <c r="F43" i="3"/>
  <c r="G43" i="3"/>
  <c r="H43" i="3"/>
  <c r="I43" i="3"/>
  <c r="J43" i="3"/>
  <c r="E44" i="3"/>
  <c r="G44" i="3"/>
  <c r="I44" i="3"/>
  <c r="E45" i="3"/>
  <c r="F45" i="3"/>
  <c r="H45" i="3"/>
  <c r="D46" i="3"/>
  <c r="G46" i="3"/>
  <c r="I46" i="3"/>
  <c r="E47" i="3"/>
  <c r="G47" i="3"/>
  <c r="I47" i="3"/>
  <c r="E48" i="3"/>
  <c r="G48" i="3"/>
  <c r="I48" i="3"/>
  <c r="E49" i="3"/>
  <c r="F49" i="3"/>
  <c r="I49" i="3"/>
  <c r="D50" i="3"/>
  <c r="F50" i="3"/>
  <c r="G50" i="3"/>
  <c r="I50" i="3"/>
  <c r="J50" i="3"/>
  <c r="D51" i="3"/>
  <c r="F51" i="3"/>
  <c r="H51" i="3"/>
  <c r="F41" i="3"/>
  <c r="G41" i="3"/>
  <c r="G53" i="3" s="1"/>
  <c r="I41" i="3"/>
  <c r="E58" i="4"/>
  <c r="F58" i="4"/>
  <c r="G58" i="4"/>
  <c r="H58" i="4"/>
  <c r="I58" i="4"/>
  <c r="J58" i="4"/>
  <c r="K58" i="4"/>
  <c r="L58" i="4"/>
  <c r="I59" i="4"/>
  <c r="J59" i="4"/>
  <c r="K59" i="4"/>
  <c r="L59" i="4"/>
  <c r="M59" i="4"/>
  <c r="N59" i="4"/>
  <c r="N76" i="4" s="1"/>
  <c r="O59" i="4"/>
  <c r="E60" i="4"/>
  <c r="F60" i="4"/>
  <c r="G60" i="4"/>
  <c r="D59" i="4"/>
  <c r="E57" i="4"/>
  <c r="E74" i="4" s="1"/>
  <c r="F57" i="4"/>
  <c r="G57" i="4"/>
  <c r="H57" i="4"/>
  <c r="H74" i="4" s="1"/>
  <c r="I57" i="4"/>
  <c r="J57" i="4"/>
  <c r="J74" i="4" s="1"/>
  <c r="K57" i="4"/>
  <c r="L57" i="4"/>
  <c r="M57" i="4"/>
  <c r="N57" i="4"/>
  <c r="O57" i="4"/>
  <c r="M58" i="4"/>
  <c r="N58" i="4"/>
  <c r="O58" i="4"/>
  <c r="E59" i="4"/>
  <c r="F59" i="4"/>
  <c r="G59" i="4"/>
  <c r="H59" i="4"/>
  <c r="H60" i="4"/>
  <c r="I60" i="4"/>
  <c r="J60" i="4"/>
  <c r="K60" i="4"/>
  <c r="L60" i="4"/>
  <c r="L77" i="4" s="1"/>
  <c r="M60" i="4"/>
  <c r="N60" i="4"/>
  <c r="N77" i="4" s="1"/>
  <c r="O60" i="4"/>
  <c r="E61" i="4"/>
  <c r="F61" i="4"/>
  <c r="G61" i="4"/>
  <c r="I61" i="4"/>
  <c r="J61" i="4"/>
  <c r="K61" i="4"/>
  <c r="L61" i="4"/>
  <c r="M61" i="4"/>
  <c r="M78" i="4" s="1"/>
  <c r="N61" i="4"/>
  <c r="O61" i="4"/>
  <c r="O78" i="4" s="1"/>
  <c r="E62" i="4"/>
  <c r="F62" i="4"/>
  <c r="G62" i="4"/>
  <c r="H62" i="4"/>
  <c r="I62" i="4"/>
  <c r="J62" i="4"/>
  <c r="K62" i="4"/>
  <c r="L62" i="4"/>
  <c r="L79" i="4" s="1"/>
  <c r="M62" i="4"/>
  <c r="N62" i="4"/>
  <c r="N79" i="4" s="1"/>
  <c r="O62" i="4"/>
  <c r="E63" i="4"/>
  <c r="F63" i="4"/>
  <c r="G63" i="4"/>
  <c r="H63" i="4"/>
  <c r="I63" i="4"/>
  <c r="J63" i="4"/>
  <c r="K63" i="4"/>
  <c r="L63" i="4"/>
  <c r="L80" i="4" s="1"/>
  <c r="M63" i="4"/>
  <c r="N63" i="4"/>
  <c r="N80" i="4" s="1"/>
  <c r="O63" i="4"/>
  <c r="E64" i="4"/>
  <c r="F64" i="4"/>
  <c r="G64" i="4"/>
  <c r="H64" i="4"/>
  <c r="I64" i="4"/>
  <c r="J64" i="4"/>
  <c r="K64" i="4"/>
  <c r="L64" i="4"/>
  <c r="M64" i="4"/>
  <c r="N64" i="4"/>
  <c r="O64" i="4"/>
  <c r="E65" i="4"/>
  <c r="F65" i="4"/>
  <c r="G65" i="4"/>
  <c r="H65" i="4"/>
  <c r="I65" i="4"/>
  <c r="J65" i="4"/>
  <c r="K65" i="4"/>
  <c r="L65" i="4"/>
  <c r="L82" i="4" s="1"/>
  <c r="M65" i="4"/>
  <c r="N65" i="4"/>
  <c r="O65" i="4"/>
  <c r="O82" i="4" s="1"/>
  <c r="E66" i="4"/>
  <c r="F66" i="4"/>
  <c r="G66" i="4"/>
  <c r="H66" i="4"/>
  <c r="D57" i="4"/>
  <c r="P57" i="4" s="1"/>
  <c r="M12" i="8"/>
  <c r="K7" i="8"/>
  <c r="J8" i="8"/>
  <c r="J9" i="8"/>
  <c r="K12" i="8"/>
  <c r="L13" i="8"/>
  <c r="J6" i="8"/>
  <c r="R11" i="8"/>
  <c r="R10" i="8"/>
  <c r="Q11" i="8"/>
  <c r="Q10" i="8"/>
  <c r="K10" i="8"/>
  <c r="J12" i="8"/>
  <c r="J13" i="8"/>
  <c r="K6" i="8"/>
  <c r="M13" i="8"/>
  <c r="J7" i="8"/>
  <c r="L7" i="8"/>
  <c r="K8" i="8"/>
  <c r="L8" i="8"/>
  <c r="K9" i="8"/>
  <c r="L9" i="8"/>
  <c r="L12" i="8"/>
  <c r="K13" i="8"/>
  <c r="L6" i="8"/>
  <c r="S11" i="8"/>
  <c r="S10" i="8"/>
  <c r="G11" i="3"/>
  <c r="G12" i="3"/>
  <c r="G13" i="3"/>
  <c r="G14" i="3"/>
  <c r="G15" i="3"/>
  <c r="G16" i="3"/>
  <c r="F11" i="3"/>
  <c r="C46" i="3" s="1"/>
  <c r="C62" i="4" s="1"/>
  <c r="F12" i="3"/>
  <c r="C47" i="3" s="1"/>
  <c r="C63" i="4" s="1"/>
  <c r="F13" i="3"/>
  <c r="C48" i="3" s="1"/>
  <c r="C64" i="4" s="1"/>
  <c r="F14" i="3"/>
  <c r="C49" i="3" s="1"/>
  <c r="C65" i="4" s="1"/>
  <c r="F15" i="3"/>
  <c r="C50" i="3" s="1"/>
  <c r="C66" i="4" s="1"/>
  <c r="F16" i="3"/>
  <c r="C51" i="3" s="1"/>
  <c r="C67" i="4" s="1"/>
  <c r="I11" i="3"/>
  <c r="I13" i="3"/>
  <c r="I15" i="3"/>
  <c r="G8" i="3"/>
  <c r="G10" i="3"/>
  <c r="F7" i="3"/>
  <c r="C42" i="3" s="1"/>
  <c r="C58" i="4" s="1"/>
  <c r="F10" i="3"/>
  <c r="C45" i="3" s="1"/>
  <c r="C61" i="4" s="1"/>
  <c r="F9" i="3"/>
  <c r="C44" i="3" s="1"/>
  <c r="C60" i="4" s="1"/>
  <c r="I12" i="3"/>
  <c r="I14" i="3"/>
  <c r="I16" i="3"/>
  <c r="G7" i="3"/>
  <c r="G9" i="3"/>
  <c r="F8" i="3"/>
  <c r="C43" i="3" s="1"/>
  <c r="C59" i="4" s="1"/>
  <c r="C13" i="8"/>
  <c r="B13" i="8"/>
  <c r="C12" i="8"/>
  <c r="B12" i="8"/>
  <c r="C11" i="8"/>
  <c r="B11" i="8"/>
  <c r="C10" i="8"/>
  <c r="B10" i="8"/>
  <c r="C9" i="8"/>
  <c r="B9" i="8"/>
  <c r="C8" i="8"/>
  <c r="B8" i="8"/>
  <c r="C7" i="8"/>
  <c r="B7" i="8"/>
  <c r="C6" i="8"/>
  <c r="B6" i="8"/>
  <c r="F15" i="7"/>
  <c r="D15" i="7"/>
  <c r="D12" i="8"/>
  <c r="C8" i="6"/>
  <c r="E8" i="6" s="1"/>
  <c r="T10" i="5"/>
  <c r="T9" i="5"/>
  <c r="T8" i="5"/>
  <c r="T7" i="5"/>
  <c r="E18" i="4"/>
  <c r="D18" i="4"/>
  <c r="C18" i="4"/>
  <c r="F16" i="4"/>
  <c r="F15" i="4"/>
  <c r="F14" i="4"/>
  <c r="F13" i="4"/>
  <c r="F12" i="4"/>
  <c r="F11" i="4"/>
  <c r="F10" i="4"/>
  <c r="F9" i="4"/>
  <c r="F8" i="4"/>
  <c r="F7" i="4"/>
  <c r="F6" i="4"/>
  <c r="N12" i="9"/>
  <c r="M12" i="9"/>
  <c r="L12" i="9"/>
  <c r="K12" i="9"/>
  <c r="J12" i="9"/>
  <c r="I12" i="9"/>
  <c r="H12" i="9"/>
  <c r="G12" i="9"/>
  <c r="F12" i="9"/>
  <c r="E12" i="9"/>
  <c r="D12" i="9"/>
  <c r="C12" i="9"/>
  <c r="C6" i="2"/>
  <c r="K70" i="3" l="1"/>
  <c r="L70" i="3"/>
  <c r="M70" i="3"/>
  <c r="N70" i="3"/>
  <c r="O70" i="3"/>
  <c r="P58" i="4"/>
  <c r="P59" i="4"/>
  <c r="Q37" i="7"/>
  <c r="E15" i="7"/>
  <c r="K75" i="3"/>
  <c r="K53" i="3"/>
  <c r="K87" i="3" s="1"/>
  <c r="L53" i="3"/>
  <c r="L87" i="3" s="1"/>
  <c r="L75" i="3"/>
  <c r="L74" i="4" s="1"/>
  <c r="M75" i="3"/>
  <c r="M74" i="4" s="1"/>
  <c r="M53" i="3"/>
  <c r="M87" i="3" s="1"/>
  <c r="N75" i="3"/>
  <c r="N53" i="3"/>
  <c r="N87" i="3" s="1"/>
  <c r="O75" i="3"/>
  <c r="O53" i="3"/>
  <c r="O87" i="3" s="1"/>
  <c r="F53" i="3"/>
  <c r="F78" i="3"/>
  <c r="F77" i="4" s="1"/>
  <c r="H78" i="3"/>
  <c r="H77" i="4" s="1"/>
  <c r="J78" i="3"/>
  <c r="J77" i="4" s="1"/>
  <c r="D79" i="3"/>
  <c r="G79" i="3"/>
  <c r="G78" i="4" s="1"/>
  <c r="I79" i="3"/>
  <c r="I78" i="4" s="1"/>
  <c r="J79" i="3"/>
  <c r="J78" i="4" s="1"/>
  <c r="E80" i="3"/>
  <c r="E79" i="4" s="1"/>
  <c r="F80" i="3"/>
  <c r="F79" i="4" s="1"/>
  <c r="F96" i="4" s="1"/>
  <c r="H80" i="3"/>
  <c r="H79" i="4" s="1"/>
  <c r="J80" i="3"/>
  <c r="J79" i="4" s="1"/>
  <c r="D81" i="3"/>
  <c r="F81" i="3"/>
  <c r="F80" i="4" s="1"/>
  <c r="H81" i="3"/>
  <c r="H80" i="4" s="1"/>
  <c r="J81" i="3"/>
  <c r="J80" i="4" s="1"/>
  <c r="D82" i="3"/>
  <c r="F82" i="3"/>
  <c r="F81" i="4" s="1"/>
  <c r="H82" i="3"/>
  <c r="H81" i="4" s="1"/>
  <c r="D83" i="3"/>
  <c r="G83" i="3"/>
  <c r="G82" i="4" s="1"/>
  <c r="H83" i="3"/>
  <c r="H82" i="4" s="1"/>
  <c r="H99" i="4" s="1"/>
  <c r="J83" i="3"/>
  <c r="J82" i="4" s="1"/>
  <c r="E85" i="3"/>
  <c r="G85" i="3"/>
  <c r="I85" i="3"/>
  <c r="J85" i="3"/>
  <c r="I53" i="3"/>
  <c r="H61" i="4"/>
  <c r="J82" i="3"/>
  <c r="J81" i="4" s="1"/>
  <c r="L81" i="4"/>
  <c r="N81" i="4"/>
  <c r="G80" i="3"/>
  <c r="G79" i="4" s="1"/>
  <c r="M79" i="4"/>
  <c r="O79" i="4"/>
  <c r="O96" i="4" s="1"/>
  <c r="E81" i="3"/>
  <c r="E80" i="4" s="1"/>
  <c r="F97" i="4" s="1"/>
  <c r="G81" i="3"/>
  <c r="G80" i="4" s="1"/>
  <c r="I81" i="3"/>
  <c r="I80" i="4" s="1"/>
  <c r="J97" i="4" s="1"/>
  <c r="K80" i="4"/>
  <c r="K97" i="4" s="1"/>
  <c r="O80" i="4"/>
  <c r="O97" i="4" s="1"/>
  <c r="I82" i="3"/>
  <c r="I81" i="4" s="1"/>
  <c r="K81" i="4"/>
  <c r="M81" i="4"/>
  <c r="O81" i="4"/>
  <c r="O98" i="4" s="1"/>
  <c r="E83" i="3"/>
  <c r="E82" i="4" s="1"/>
  <c r="I83" i="3"/>
  <c r="I82" i="4" s="1"/>
  <c r="K82" i="4"/>
  <c r="M82" i="4"/>
  <c r="M99" i="4" s="1"/>
  <c r="C83" i="3"/>
  <c r="C82" i="4" s="1"/>
  <c r="C82" i="3"/>
  <c r="C81" i="4" s="1"/>
  <c r="C80" i="3"/>
  <c r="C79" i="4" s="1"/>
  <c r="C78" i="3"/>
  <c r="C77" i="4" s="1"/>
  <c r="C76" i="3"/>
  <c r="C75" i="4" s="1"/>
  <c r="C70" i="3"/>
  <c r="C85" i="3"/>
  <c r="C84" i="4" s="1"/>
  <c r="C84" i="3"/>
  <c r="C83" i="4" s="1"/>
  <c r="C81" i="3"/>
  <c r="C80" i="4" s="1"/>
  <c r="C79" i="3"/>
  <c r="C78" i="4" s="1"/>
  <c r="C77" i="3"/>
  <c r="C76" i="4" s="1"/>
  <c r="N78" i="4"/>
  <c r="D80" i="3"/>
  <c r="I80" i="3"/>
  <c r="I79" i="4" s="1"/>
  <c r="J96" i="4" s="1"/>
  <c r="K79" i="4"/>
  <c r="M80" i="4"/>
  <c r="E82" i="3"/>
  <c r="E81" i="4" s="1"/>
  <c r="F98" i="4" s="1"/>
  <c r="G82" i="3"/>
  <c r="G81" i="4" s="1"/>
  <c r="F83" i="3"/>
  <c r="F82" i="4" s="1"/>
  <c r="F99" i="4" s="1"/>
  <c r="N82" i="4"/>
  <c r="L22" i="9"/>
  <c r="N22" i="9"/>
  <c r="M22" i="9"/>
  <c r="K22" i="9"/>
  <c r="J22" i="9"/>
  <c r="I22" i="9"/>
  <c r="H22" i="9"/>
  <c r="G22" i="9"/>
  <c r="C17" i="5"/>
  <c r="C18" i="5"/>
  <c r="S9" i="5"/>
  <c r="S8" i="5"/>
  <c r="M65" i="7"/>
  <c r="N65" i="7" s="1"/>
  <c r="O65" i="7" s="1"/>
  <c r="P65" i="7" s="1"/>
  <c r="F71" i="7"/>
  <c r="F73" i="7" s="1"/>
  <c r="I20" i="8"/>
  <c r="H20" i="8"/>
  <c r="G20" i="8"/>
  <c r="F20" i="8"/>
  <c r="E20" i="8"/>
  <c r="P21" i="8"/>
  <c r="O21" i="8"/>
  <c r="N21" i="8"/>
  <c r="M21" i="8"/>
  <c r="L21" i="8"/>
  <c r="K21" i="8"/>
  <c r="J21" i="8"/>
  <c r="I21" i="8"/>
  <c r="H21" i="8"/>
  <c r="G21" i="8"/>
  <c r="F21" i="8"/>
  <c r="E21" i="8"/>
  <c r="P22" i="8"/>
  <c r="O22" i="8"/>
  <c r="N22" i="8"/>
  <c r="M22" i="8"/>
  <c r="L22" i="8"/>
  <c r="K22" i="8"/>
  <c r="J22" i="8"/>
  <c r="I22" i="8"/>
  <c r="H22" i="8"/>
  <c r="G22" i="8"/>
  <c r="F22" i="8"/>
  <c r="E22" i="8"/>
  <c r="M23" i="8"/>
  <c r="L23" i="8"/>
  <c r="K23" i="8"/>
  <c r="J23" i="8"/>
  <c r="I23" i="8"/>
  <c r="H23" i="8"/>
  <c r="G23" i="8"/>
  <c r="F23" i="8"/>
  <c r="E23" i="8"/>
  <c r="F24" i="8"/>
  <c r="E24" i="8"/>
  <c r="F25" i="8"/>
  <c r="E25" i="8"/>
  <c r="C10" i="5"/>
  <c r="F26" i="8"/>
  <c r="E26" i="8"/>
  <c r="E19" i="8"/>
  <c r="P19" i="8"/>
  <c r="O19" i="8"/>
  <c r="N19" i="8"/>
  <c r="M19" i="8"/>
  <c r="L19" i="8"/>
  <c r="K19" i="8"/>
  <c r="J19" i="8"/>
  <c r="I19" i="8"/>
  <c r="H19" i="8"/>
  <c r="G19" i="8"/>
  <c r="F19" i="8"/>
  <c r="D27" i="8"/>
  <c r="D31" i="8"/>
  <c r="D32" i="8"/>
  <c r="D33" i="8"/>
  <c r="N66" i="7"/>
  <c r="O66" i="7" s="1"/>
  <c r="P66" i="7" s="1"/>
  <c r="G67" i="7"/>
  <c r="G68" i="7"/>
  <c r="H68" i="7" s="1"/>
  <c r="I68" i="7" s="1"/>
  <c r="J68" i="7" s="1"/>
  <c r="K68" i="7" s="1"/>
  <c r="L68" i="7" s="1"/>
  <c r="M68" i="7" s="1"/>
  <c r="N68" i="7" s="1"/>
  <c r="O68" i="7" s="1"/>
  <c r="P68" i="7" s="1"/>
  <c r="G69" i="7"/>
  <c r="H69" i="7" s="1"/>
  <c r="I69" i="7" s="1"/>
  <c r="J69" i="7" s="1"/>
  <c r="K69" i="7" s="1"/>
  <c r="L69" i="7" s="1"/>
  <c r="M69" i="7" s="1"/>
  <c r="N69" i="7" s="1"/>
  <c r="O69" i="7" s="1"/>
  <c r="P69" i="7" s="1"/>
  <c r="Q62" i="7"/>
  <c r="Q69" i="7"/>
  <c r="Q66" i="7"/>
  <c r="Q65" i="7"/>
  <c r="Q63" i="7"/>
  <c r="Q68" i="7"/>
  <c r="Q64" i="7"/>
  <c r="D48" i="6"/>
  <c r="D55" i="6"/>
  <c r="D54" i="6"/>
  <c r="D47" i="6"/>
  <c r="D53" i="6"/>
  <c r="A53" i="6"/>
  <c r="F8" i="6"/>
  <c r="E32" i="6"/>
  <c r="F34" i="6"/>
  <c r="F33" i="6"/>
  <c r="E41" i="6"/>
  <c r="E39" i="6"/>
  <c r="D43" i="6"/>
  <c r="E40" i="6"/>
  <c r="D36" i="6"/>
  <c r="D15" i="6"/>
  <c r="H15" i="6"/>
  <c r="I15" i="6"/>
  <c r="L15" i="6"/>
  <c r="M15" i="6"/>
  <c r="O15" i="6"/>
  <c r="F15" i="6"/>
  <c r="C15" i="6"/>
  <c r="E15" i="6"/>
  <c r="G15" i="6"/>
  <c r="J15" i="6"/>
  <c r="K15" i="6"/>
  <c r="N15" i="6"/>
  <c r="E29" i="6"/>
  <c r="E43" i="6"/>
  <c r="F39" i="6"/>
  <c r="D29" i="6"/>
  <c r="D8" i="6"/>
  <c r="I43" i="7"/>
  <c r="J35" i="7"/>
  <c r="Q87" i="7"/>
  <c r="P14" i="2" s="1"/>
  <c r="I66" i="4"/>
  <c r="J66" i="4"/>
  <c r="K66" i="4"/>
  <c r="L66" i="4"/>
  <c r="M66" i="4"/>
  <c r="N66" i="4"/>
  <c r="O66" i="4"/>
  <c r="E67" i="4"/>
  <c r="F67" i="4"/>
  <c r="G67" i="4"/>
  <c r="H67" i="4"/>
  <c r="I67" i="4"/>
  <c r="J67" i="4"/>
  <c r="K67" i="4"/>
  <c r="L67" i="4"/>
  <c r="L84" i="4" s="1"/>
  <c r="M67" i="4"/>
  <c r="N67" i="4"/>
  <c r="N84" i="4" s="1"/>
  <c r="O67" i="4"/>
  <c r="D60" i="4"/>
  <c r="D61" i="4"/>
  <c r="P61" i="4" s="1"/>
  <c r="D62" i="4"/>
  <c r="P62" i="4" s="1"/>
  <c r="D63" i="4"/>
  <c r="P63" i="4" s="1"/>
  <c r="D64" i="4"/>
  <c r="P64" i="4" s="1"/>
  <c r="D65" i="4"/>
  <c r="P65" i="4" s="1"/>
  <c r="D66" i="4"/>
  <c r="P66" i="4" s="1"/>
  <c r="D67" i="4"/>
  <c r="P67" i="4" s="1"/>
  <c r="D53" i="3"/>
  <c r="I70" i="3"/>
  <c r="H70" i="3"/>
  <c r="F70" i="3"/>
  <c r="F87" i="3" s="1"/>
  <c r="J70" i="3"/>
  <c r="G70" i="3"/>
  <c r="G87" i="3" s="1"/>
  <c r="E70" i="3"/>
  <c r="E53" i="3"/>
  <c r="E87" i="3" s="1"/>
  <c r="H53" i="3"/>
  <c r="H87" i="3" s="1"/>
  <c r="J53" i="3"/>
  <c r="J87" i="3" s="1"/>
  <c r="D76" i="3"/>
  <c r="D75" i="4" s="1"/>
  <c r="E76" i="3"/>
  <c r="E75" i="4" s="1"/>
  <c r="E92" i="4" s="1"/>
  <c r="F76" i="3"/>
  <c r="F75" i="4" s="1"/>
  <c r="F92" i="4" s="1"/>
  <c r="G76" i="3"/>
  <c r="G75" i="4" s="1"/>
  <c r="G92" i="4" s="1"/>
  <c r="H76" i="3"/>
  <c r="H75" i="4" s="1"/>
  <c r="H92" i="4" s="1"/>
  <c r="I76" i="3"/>
  <c r="I75" i="4" s="1"/>
  <c r="I92" i="4" s="1"/>
  <c r="J76" i="3"/>
  <c r="J75" i="4" s="1"/>
  <c r="J92" i="4" s="1"/>
  <c r="K75" i="4"/>
  <c r="K92" i="4" s="1"/>
  <c r="L75" i="4"/>
  <c r="M75" i="4"/>
  <c r="M92" i="4" s="1"/>
  <c r="N75" i="4"/>
  <c r="N92" i="4" s="1"/>
  <c r="O75" i="4"/>
  <c r="O92" i="4" s="1"/>
  <c r="D77" i="3"/>
  <c r="D76" i="4" s="1"/>
  <c r="E77" i="3"/>
  <c r="E76" i="4" s="1"/>
  <c r="E93" i="4" s="1"/>
  <c r="F77" i="3"/>
  <c r="F76" i="4" s="1"/>
  <c r="F93" i="4" s="1"/>
  <c r="G77" i="3"/>
  <c r="G76" i="4" s="1"/>
  <c r="G93" i="4" s="1"/>
  <c r="H77" i="3"/>
  <c r="H76" i="4" s="1"/>
  <c r="H93" i="4" s="1"/>
  <c r="I77" i="3"/>
  <c r="I76" i="4" s="1"/>
  <c r="J77" i="3"/>
  <c r="J76" i="4" s="1"/>
  <c r="J93" i="4" s="1"/>
  <c r="K76" i="4"/>
  <c r="L76" i="4"/>
  <c r="L93" i="4" s="1"/>
  <c r="M76" i="4"/>
  <c r="O76" i="4"/>
  <c r="O93" i="4" s="1"/>
  <c r="E78" i="3"/>
  <c r="E77" i="4" s="1"/>
  <c r="G78" i="3"/>
  <c r="G77" i="4" s="1"/>
  <c r="I78" i="3"/>
  <c r="I77" i="4" s="1"/>
  <c r="K77" i="4"/>
  <c r="M77" i="4"/>
  <c r="O77" i="4"/>
  <c r="O94" i="4" s="1"/>
  <c r="E79" i="3"/>
  <c r="E78" i="4" s="1"/>
  <c r="F79" i="3"/>
  <c r="F78" i="4" s="1"/>
  <c r="H79" i="3"/>
  <c r="K78" i="4"/>
  <c r="L78" i="4"/>
  <c r="D84" i="3"/>
  <c r="E84" i="3"/>
  <c r="E83" i="4" s="1"/>
  <c r="F84" i="3"/>
  <c r="F83" i="4" s="1"/>
  <c r="F100" i="4" s="1"/>
  <c r="G84" i="3"/>
  <c r="G83" i="4" s="1"/>
  <c r="G100" i="4" s="1"/>
  <c r="H84" i="3"/>
  <c r="H83" i="4" s="1"/>
  <c r="I84" i="3"/>
  <c r="J84" i="3"/>
  <c r="D85" i="3"/>
  <c r="F85" i="3"/>
  <c r="H85" i="3"/>
  <c r="F75" i="3"/>
  <c r="F74" i="4" s="1"/>
  <c r="F91" i="4" s="1"/>
  <c r="G75" i="3"/>
  <c r="G74" i="4" s="1"/>
  <c r="I75" i="3"/>
  <c r="I74" i="4" s="1"/>
  <c r="K74" i="4"/>
  <c r="N74" i="4"/>
  <c r="D75" i="3"/>
  <c r="D74" i="4" s="1"/>
  <c r="D70" i="3"/>
  <c r="J10" i="8"/>
  <c r="J11" i="8"/>
  <c r="K11" i="8"/>
  <c r="L10" i="8"/>
  <c r="L11" i="8"/>
  <c r="I10" i="3"/>
  <c r="I8" i="3"/>
  <c r="I7" i="3"/>
  <c r="I9" i="3"/>
  <c r="G9" i="10"/>
  <c r="T12" i="5"/>
  <c r="O12" i="9"/>
  <c r="D8" i="8"/>
  <c r="D11" i="8"/>
  <c r="D7" i="8"/>
  <c r="G9" i="8"/>
  <c r="G15" i="7"/>
  <c r="D9" i="8"/>
  <c r="D6" i="8"/>
  <c r="D10" i="8"/>
  <c r="D13" i="8"/>
  <c r="M91" i="4" l="1"/>
  <c r="P76" i="4"/>
  <c r="P75" i="4"/>
  <c r="Q22" i="8"/>
  <c r="Q27" i="8" s="1"/>
  <c r="F94" i="4"/>
  <c r="J95" i="4"/>
  <c r="L92" i="4"/>
  <c r="N91" i="4"/>
  <c r="D69" i="4"/>
  <c r="K95" i="4"/>
  <c r="D77" i="4"/>
  <c r="P77" i="4" s="1"/>
  <c r="P60" i="4"/>
  <c r="O74" i="4"/>
  <c r="P74" i="4" s="1"/>
  <c r="E84" i="4"/>
  <c r="G84" i="4"/>
  <c r="I84" i="4"/>
  <c r="J84" i="4"/>
  <c r="D78" i="4"/>
  <c r="D80" i="4"/>
  <c r="P80" i="4" s="1"/>
  <c r="D81" i="4"/>
  <c r="P81" i="4" s="1"/>
  <c r="D82" i="4"/>
  <c r="P82" i="4" s="1"/>
  <c r="I87" i="3"/>
  <c r="D92" i="4"/>
  <c r="P92" i="4" s="1"/>
  <c r="D93" i="4"/>
  <c r="H78" i="4"/>
  <c r="H100" i="4"/>
  <c r="I93" i="4"/>
  <c r="K93" i="4"/>
  <c r="H96" i="4"/>
  <c r="G96" i="4"/>
  <c r="N96" i="4"/>
  <c r="M96" i="4"/>
  <c r="H97" i="4"/>
  <c r="G97" i="4"/>
  <c r="J98" i="4"/>
  <c r="I98" i="4"/>
  <c r="L98" i="4"/>
  <c r="K98" i="4"/>
  <c r="N98" i="4"/>
  <c r="M98" i="4"/>
  <c r="J99" i="4"/>
  <c r="I99" i="4"/>
  <c r="L99" i="4"/>
  <c r="K99" i="4"/>
  <c r="O95" i="4"/>
  <c r="N95" i="4"/>
  <c r="L96" i="4"/>
  <c r="K96" i="4"/>
  <c r="N97" i="4"/>
  <c r="M97" i="4"/>
  <c r="H98" i="4"/>
  <c r="G98" i="4"/>
  <c r="O99" i="4"/>
  <c r="N99" i="4"/>
  <c r="I96" i="4"/>
  <c r="I97" i="4"/>
  <c r="G99" i="4"/>
  <c r="L97" i="4"/>
  <c r="I83" i="4"/>
  <c r="I100" i="4" s="1"/>
  <c r="K83" i="4"/>
  <c r="L83" i="4"/>
  <c r="L100" i="4" s="1"/>
  <c r="M83" i="4"/>
  <c r="M100" i="4" s="1"/>
  <c r="N83" i="4"/>
  <c r="N100" i="4" s="1"/>
  <c r="O83" i="4"/>
  <c r="O100" i="4" s="1"/>
  <c r="F84" i="4"/>
  <c r="H84" i="4"/>
  <c r="H101" i="4" s="1"/>
  <c r="K84" i="4"/>
  <c r="M84" i="4"/>
  <c r="D79" i="4"/>
  <c r="P79" i="4" s="1"/>
  <c r="D83" i="4"/>
  <c r="J83" i="4"/>
  <c r="J100" i="4" s="1"/>
  <c r="O84" i="4"/>
  <c r="O101" i="4" s="1"/>
  <c r="D84" i="4"/>
  <c r="N93" i="4"/>
  <c r="M93" i="4"/>
  <c r="H94" i="4"/>
  <c r="G94" i="4"/>
  <c r="J94" i="4"/>
  <c r="I94" i="4"/>
  <c r="L94" i="4"/>
  <c r="K94" i="4"/>
  <c r="N94" i="4"/>
  <c r="M94" i="4"/>
  <c r="G95" i="4"/>
  <c r="F95" i="4"/>
  <c r="M95" i="4"/>
  <c r="L95" i="4"/>
  <c r="H91" i="4"/>
  <c r="G91" i="4"/>
  <c r="J91" i="4"/>
  <c r="I91" i="4"/>
  <c r="L91" i="4"/>
  <c r="K91" i="4"/>
  <c r="E91" i="4"/>
  <c r="C7" i="5"/>
  <c r="C9" i="2"/>
  <c r="S10" i="5"/>
  <c r="C19" i="5"/>
  <c r="E27" i="8"/>
  <c r="E33" i="8"/>
  <c r="E32" i="8"/>
  <c r="E31" i="8"/>
  <c r="F27" i="8"/>
  <c r="F33" i="8"/>
  <c r="F32" i="8"/>
  <c r="F31" i="8"/>
  <c r="G71" i="7"/>
  <c r="G73" i="7" s="1"/>
  <c r="H67" i="7"/>
  <c r="J20" i="8"/>
  <c r="P23" i="8"/>
  <c r="O23" i="8"/>
  <c r="N23" i="8"/>
  <c r="G24" i="8"/>
  <c r="P25" i="8"/>
  <c r="O25" i="8"/>
  <c r="N25" i="8"/>
  <c r="M25" i="8"/>
  <c r="L25" i="8"/>
  <c r="K25" i="8"/>
  <c r="J25" i="8"/>
  <c r="I25" i="8"/>
  <c r="H25" i="8"/>
  <c r="G25" i="8"/>
  <c r="P26" i="8"/>
  <c r="O26" i="8"/>
  <c r="N26" i="8"/>
  <c r="M26" i="8"/>
  <c r="L26" i="8"/>
  <c r="K26" i="8"/>
  <c r="J26" i="8"/>
  <c r="I26" i="8"/>
  <c r="H26" i="8"/>
  <c r="G26" i="8"/>
  <c r="G27" i="8"/>
  <c r="O69" i="4"/>
  <c r="J69" i="4"/>
  <c r="E69" i="4"/>
  <c r="M69" i="4"/>
  <c r="K69" i="4"/>
  <c r="I69" i="4"/>
  <c r="G69" i="4"/>
  <c r="N69" i="4"/>
  <c r="L69" i="4"/>
  <c r="H69" i="4"/>
  <c r="F69" i="4"/>
  <c r="E94" i="4"/>
  <c r="D94" i="4"/>
  <c r="P94" i="4" s="1"/>
  <c r="D49" i="6"/>
  <c r="A56" i="6"/>
  <c r="E49" i="6"/>
  <c r="F49" i="6" s="1"/>
  <c r="G49" i="6" s="1"/>
  <c r="H49" i="6"/>
  <c r="I49" i="6" s="1"/>
  <c r="J49" i="6" s="1"/>
  <c r="K49" i="6"/>
  <c r="L49" i="6" s="1"/>
  <c r="M49" i="6" s="1"/>
  <c r="N49" i="6"/>
  <c r="O49" i="6" s="1"/>
  <c r="E48" i="6"/>
  <c r="E55" i="6"/>
  <c r="E54" i="6"/>
  <c r="E47" i="6"/>
  <c r="E53" i="6"/>
  <c r="F32" i="6"/>
  <c r="G34" i="6"/>
  <c r="H34" i="6" s="1"/>
  <c r="I34" i="6" s="1"/>
  <c r="J34" i="6" s="1"/>
  <c r="K34" i="6" s="1"/>
  <c r="L34" i="6" s="1"/>
  <c r="M34" i="6" s="1"/>
  <c r="N34" i="6" s="1"/>
  <c r="O34" i="6" s="1"/>
  <c r="G33" i="6"/>
  <c r="H33" i="6" s="1"/>
  <c r="I33" i="6" s="1"/>
  <c r="J33" i="6" s="1"/>
  <c r="F41" i="6"/>
  <c r="F40" i="6"/>
  <c r="E36" i="6"/>
  <c r="F29" i="6"/>
  <c r="G39" i="6"/>
  <c r="F43" i="6"/>
  <c r="J43" i="7"/>
  <c r="K35" i="7"/>
  <c r="K20" i="8" s="1"/>
  <c r="D87" i="3"/>
  <c r="G10" i="8"/>
  <c r="K14" i="8"/>
  <c r="G6" i="8"/>
  <c r="L14" i="8"/>
  <c r="J14" i="8"/>
  <c r="G12" i="8"/>
  <c r="G11" i="8"/>
  <c r="G7" i="8"/>
  <c r="F14" i="8"/>
  <c r="C22" i="9"/>
  <c r="E22" i="9"/>
  <c r="D22" i="9"/>
  <c r="F22" i="9"/>
  <c r="D14" i="8"/>
  <c r="G13" i="8"/>
  <c r="G8" i="8"/>
  <c r="P78" i="4" l="1"/>
  <c r="P93" i="4"/>
  <c r="P83" i="4"/>
  <c r="P69" i="4"/>
  <c r="F18" i="4" s="1"/>
  <c r="O91" i="4"/>
  <c r="J101" i="4"/>
  <c r="E95" i="4"/>
  <c r="D95" i="4"/>
  <c r="D97" i="4"/>
  <c r="E98" i="4"/>
  <c r="D98" i="4"/>
  <c r="P98" i="4" s="1"/>
  <c r="E99" i="4"/>
  <c r="D99" i="4"/>
  <c r="P99" i="4" s="1"/>
  <c r="G86" i="4"/>
  <c r="G11" i="2" s="1"/>
  <c r="G35" i="4"/>
  <c r="E86" i="4"/>
  <c r="E11" i="2" s="1"/>
  <c r="E35" i="4"/>
  <c r="D101" i="4"/>
  <c r="P84" i="4"/>
  <c r="E97" i="4"/>
  <c r="I95" i="4"/>
  <c r="H95" i="4"/>
  <c r="O103" i="4"/>
  <c r="E96" i="4"/>
  <c r="D96" i="4"/>
  <c r="P96" i="4" s="1"/>
  <c r="E100" i="4"/>
  <c r="D100" i="4"/>
  <c r="K100" i="4"/>
  <c r="J103" i="4"/>
  <c r="E101" i="4"/>
  <c r="I101" i="4"/>
  <c r="I103" i="4" s="1"/>
  <c r="F86" i="4"/>
  <c r="F11" i="2" s="1"/>
  <c r="H86" i="4"/>
  <c r="H11" i="2" s="1"/>
  <c r="H35" i="4"/>
  <c r="I86" i="4"/>
  <c r="I11" i="2" s="1"/>
  <c r="J86" i="4"/>
  <c r="J11" i="2" s="1"/>
  <c r="K86" i="4"/>
  <c r="K11" i="2" s="1"/>
  <c r="K35" i="4"/>
  <c r="L86" i="4"/>
  <c r="L11" i="2" s="1"/>
  <c r="M86" i="4"/>
  <c r="M11" i="2" s="1"/>
  <c r="N86" i="4"/>
  <c r="N11" i="2" s="1"/>
  <c r="N35" i="4"/>
  <c r="O86" i="4"/>
  <c r="O11" i="2" s="1"/>
  <c r="O35" i="4"/>
  <c r="D86" i="4"/>
  <c r="D35" i="4"/>
  <c r="G101" i="4"/>
  <c r="G103" i="4" s="1"/>
  <c r="F101" i="4"/>
  <c r="F103" i="4" s="1"/>
  <c r="L101" i="4"/>
  <c r="L103" i="4" s="1"/>
  <c r="K101" i="4"/>
  <c r="N101" i="4"/>
  <c r="N103" i="4" s="1"/>
  <c r="M101" i="4"/>
  <c r="M103" i="4" s="1"/>
  <c r="H103" i="4"/>
  <c r="C12" i="5"/>
  <c r="P13" i="5"/>
  <c r="P12" i="5"/>
  <c r="S7" i="5"/>
  <c r="S12" i="5" s="1"/>
  <c r="C16" i="5"/>
  <c r="C20" i="5" s="1"/>
  <c r="C10" i="2" s="1"/>
  <c r="H24" i="8"/>
  <c r="H71" i="7"/>
  <c r="H73" i="7" s="1"/>
  <c r="I67" i="7"/>
  <c r="G32" i="8"/>
  <c r="G33" i="8"/>
  <c r="G31" i="8"/>
  <c r="F53" i="6"/>
  <c r="G41" i="6"/>
  <c r="F48" i="6"/>
  <c r="F55" i="6"/>
  <c r="F54" i="6"/>
  <c r="F47" i="6"/>
  <c r="D57" i="6"/>
  <c r="G32" i="6"/>
  <c r="K33" i="6"/>
  <c r="L33" i="6" s="1"/>
  <c r="G40" i="6"/>
  <c r="F36" i="6"/>
  <c r="G29" i="6"/>
  <c r="G43" i="6"/>
  <c r="H39" i="6"/>
  <c r="H53" i="6" s="1"/>
  <c r="K43" i="7"/>
  <c r="L35" i="7"/>
  <c r="L20" i="8" s="1"/>
  <c r="G14" i="8"/>
  <c r="C9" i="10"/>
  <c r="G6" i="10" s="1"/>
  <c r="O22" i="9"/>
  <c r="P100" i="4" l="1"/>
  <c r="P86" i="4"/>
  <c r="D11" i="2"/>
  <c r="P95" i="4"/>
  <c r="P97" i="4"/>
  <c r="P101" i="4"/>
  <c r="K103" i="4"/>
  <c r="F35" i="4"/>
  <c r="I35" i="4"/>
  <c r="L35" i="4"/>
  <c r="J35" i="4"/>
  <c r="E103" i="4"/>
  <c r="M35" i="4"/>
  <c r="T8" i="8"/>
  <c r="M8" i="8" s="1"/>
  <c r="T6" i="8"/>
  <c r="M6" i="8" s="1"/>
  <c r="T11" i="8"/>
  <c r="M11" i="8" s="1"/>
  <c r="T10" i="8"/>
  <c r="M10" i="8" s="1"/>
  <c r="T9" i="8"/>
  <c r="M9" i="8" s="1"/>
  <c r="T7" i="8"/>
  <c r="M7" i="8" s="1"/>
  <c r="H27" i="8"/>
  <c r="H31" i="8"/>
  <c r="H33" i="8"/>
  <c r="I24" i="8"/>
  <c r="I71" i="7"/>
  <c r="I73" i="7" s="1"/>
  <c r="J67" i="7"/>
  <c r="G55" i="6"/>
  <c r="G48" i="6"/>
  <c r="H41" i="6"/>
  <c r="H32" i="6"/>
  <c r="I32" i="6" s="1"/>
  <c r="J32" i="6" s="1"/>
  <c r="K32" i="6" s="1"/>
  <c r="L32" i="6" s="1"/>
  <c r="M32" i="6" s="1"/>
  <c r="N32" i="6" s="1"/>
  <c r="O32" i="6" s="1"/>
  <c r="G53" i="6"/>
  <c r="G54" i="6"/>
  <c r="G47" i="6"/>
  <c r="M33" i="6"/>
  <c r="N33" i="6" s="1"/>
  <c r="H40" i="6"/>
  <c r="G36" i="6"/>
  <c r="I39" i="6"/>
  <c r="L43" i="7"/>
  <c r="M35" i="7"/>
  <c r="M20" i="8" s="1"/>
  <c r="H32" i="8" l="1"/>
  <c r="M14" i="8"/>
  <c r="I27" i="8"/>
  <c r="I31" i="8"/>
  <c r="I33" i="8"/>
  <c r="I32" i="8"/>
  <c r="J24" i="8"/>
  <c r="J71" i="7"/>
  <c r="J73" i="7" s="1"/>
  <c r="K67" i="7"/>
  <c r="H55" i="6"/>
  <c r="H48" i="6"/>
  <c r="I41" i="6"/>
  <c r="H54" i="6"/>
  <c r="H47" i="6"/>
  <c r="H29" i="6"/>
  <c r="I53" i="6"/>
  <c r="H43" i="6"/>
  <c r="O33" i="6"/>
  <c r="E57" i="6"/>
  <c r="I40" i="6"/>
  <c r="H36" i="6"/>
  <c r="I29" i="6"/>
  <c r="I43" i="6"/>
  <c r="J39" i="6"/>
  <c r="J53" i="6" s="1"/>
  <c r="M43" i="7"/>
  <c r="N35" i="7"/>
  <c r="N20" i="8" s="1"/>
  <c r="J27" i="8" l="1"/>
  <c r="J32" i="8"/>
  <c r="J31" i="8"/>
  <c r="J33" i="8"/>
  <c r="K24" i="8"/>
  <c r="K71" i="7"/>
  <c r="K73" i="7" s="1"/>
  <c r="L67" i="7"/>
  <c r="I55" i="6"/>
  <c r="I48" i="6"/>
  <c r="J41" i="6"/>
  <c r="I54" i="6"/>
  <c r="I47" i="6"/>
  <c r="F57" i="6"/>
  <c r="J40" i="6"/>
  <c r="I36" i="6"/>
  <c r="J29" i="6"/>
  <c r="K39" i="6"/>
  <c r="K53" i="6" s="1"/>
  <c r="J43" i="6"/>
  <c r="N43" i="7"/>
  <c r="O35" i="7"/>
  <c r="O20" i="8" s="1"/>
  <c r="K27" i="8" l="1"/>
  <c r="K32" i="8"/>
  <c r="K33" i="8"/>
  <c r="K31" i="8"/>
  <c r="L71" i="7"/>
  <c r="L73" i="7" s="1"/>
  <c r="L24" i="8"/>
  <c r="M67" i="7"/>
  <c r="J55" i="6"/>
  <c r="J48" i="6"/>
  <c r="K41" i="6"/>
  <c r="J54" i="6"/>
  <c r="J47" i="6"/>
  <c r="G57" i="6"/>
  <c r="K40" i="6"/>
  <c r="J36" i="6"/>
  <c r="K29" i="6"/>
  <c r="K43" i="6"/>
  <c r="L39" i="6"/>
  <c r="L53" i="6" s="1"/>
  <c r="O43" i="7"/>
  <c r="P35" i="7"/>
  <c r="Q35" i="7"/>
  <c r="Q43" i="7" s="1"/>
  <c r="L27" i="8" l="1"/>
  <c r="L31" i="8"/>
  <c r="L33" i="8"/>
  <c r="L32" i="8"/>
  <c r="M71" i="7"/>
  <c r="M73" i="7" s="1"/>
  <c r="M24" i="8"/>
  <c r="N67" i="7"/>
  <c r="P43" i="7"/>
  <c r="P20" i="8"/>
  <c r="K55" i="6"/>
  <c r="K48" i="6"/>
  <c r="L41" i="6"/>
  <c r="K54" i="6"/>
  <c r="K47" i="6"/>
  <c r="H57" i="6"/>
  <c r="L40" i="6"/>
  <c r="K36" i="6"/>
  <c r="L29" i="6"/>
  <c r="M39" i="6"/>
  <c r="M53" i="6" s="1"/>
  <c r="M27" i="8" l="1"/>
  <c r="M31" i="8"/>
  <c r="M32" i="8"/>
  <c r="M33" i="8"/>
  <c r="N71" i="7"/>
  <c r="N73" i="7" s="1"/>
  <c r="N24" i="8"/>
  <c r="O67" i="7"/>
  <c r="L55" i="6"/>
  <c r="L48" i="6"/>
  <c r="M41" i="6"/>
  <c r="L54" i="6"/>
  <c r="L47" i="6"/>
  <c r="I57" i="6"/>
  <c r="L43" i="6"/>
  <c r="M40" i="6"/>
  <c r="L36" i="6"/>
  <c r="N39" i="6"/>
  <c r="N53" i="6" s="1"/>
  <c r="N27" i="8" l="1"/>
  <c r="N31" i="8"/>
  <c r="N33" i="8"/>
  <c r="N32" i="8"/>
  <c r="O71" i="7"/>
  <c r="O73" i="7" s="1"/>
  <c r="O24" i="8"/>
  <c r="P67" i="7"/>
  <c r="M55" i="6"/>
  <c r="M48" i="6"/>
  <c r="N41" i="6"/>
  <c r="M54" i="6"/>
  <c r="M47" i="6"/>
  <c r="J57" i="6"/>
  <c r="M29" i="6"/>
  <c r="M43" i="6"/>
  <c r="N40" i="6"/>
  <c r="M36" i="6"/>
  <c r="O39" i="6"/>
  <c r="O27" i="8" l="1"/>
  <c r="O33" i="8"/>
  <c r="O32" i="8"/>
  <c r="O31" i="8"/>
  <c r="P71" i="7"/>
  <c r="P73" i="7" s="1"/>
  <c r="P24" i="8"/>
  <c r="Q67" i="7"/>
  <c r="Q71" i="7" s="1"/>
  <c r="Q73" i="7" s="1"/>
  <c r="N48" i="6"/>
  <c r="N55" i="6"/>
  <c r="O41" i="6"/>
  <c r="N54" i="6"/>
  <c r="N47" i="6"/>
  <c r="O53" i="6"/>
  <c r="K57" i="6"/>
  <c r="N43" i="6"/>
  <c r="N29" i="6"/>
  <c r="O40" i="6"/>
  <c r="O36" i="6"/>
  <c r="N36" i="6"/>
  <c r="P27" i="8" l="1"/>
  <c r="P33" i="8"/>
  <c r="P32" i="8"/>
  <c r="P31" i="8"/>
  <c r="O55" i="6"/>
  <c r="O48" i="6"/>
  <c r="O54" i="6"/>
  <c r="O47" i="6"/>
  <c r="L57" i="6"/>
  <c r="O29" i="6"/>
  <c r="O43" i="6"/>
  <c r="M57" i="6" l="1"/>
  <c r="N57" i="6" l="1"/>
  <c r="O57" i="6"/>
  <c r="E18" i="3" l="1"/>
  <c r="G6" i="3"/>
  <c r="F6" i="3"/>
  <c r="H18" i="3"/>
  <c r="C41" i="3" l="1"/>
  <c r="G18" i="3"/>
  <c r="C75" i="3"/>
  <c r="C53" i="3"/>
  <c r="C87" i="3" s="1"/>
  <c r="C57" i="4"/>
  <c r="C74" i="4" s="1"/>
  <c r="D91" i="4" s="1"/>
  <c r="F18" i="3"/>
  <c r="H19" i="3" s="1"/>
  <c r="I6" i="3"/>
  <c r="D103" i="4" l="1"/>
  <c r="P103" i="4" s="1"/>
  <c r="P91" i="4"/>
  <c r="I18" i="3"/>
  <c r="C69" i="4"/>
  <c r="C86" i="4"/>
  <c r="C11" i="2" s="1"/>
  <c r="C35" i="4"/>
  <c r="J7" i="2"/>
  <c r="M7" i="2"/>
  <c r="I7" i="2"/>
  <c r="F7" i="2"/>
  <c r="C7" i="2"/>
  <c r="C8" i="2" s="1"/>
  <c r="D7" i="2" l="1"/>
  <c r="L7" i="2"/>
  <c r="O7" i="2"/>
  <c r="E7" i="2"/>
  <c r="N7" i="2"/>
  <c r="H7" i="2"/>
  <c r="K7" i="2"/>
  <c r="G7" i="2"/>
  <c r="F15" i="8"/>
  <c r="D12" i="2" l="1"/>
  <c r="J12" i="2"/>
  <c r="I21" i="9" s="1"/>
  <c r="E12" i="2"/>
  <c r="D21" i="9" s="1"/>
  <c r="O12" i="2"/>
  <c r="N21" i="9" s="1"/>
  <c r="K12" i="2"/>
  <c r="J21" i="9" s="1"/>
  <c r="H12" i="2"/>
  <c r="G21" i="9" s="1"/>
  <c r="F12" i="2"/>
  <c r="E21" i="9" s="1"/>
  <c r="M12" i="2"/>
  <c r="L21" i="9" s="1"/>
  <c r="N12" i="2"/>
  <c r="M21" i="9" s="1"/>
  <c r="I12" i="2"/>
  <c r="H21" i="9" s="1"/>
  <c r="G12" i="2"/>
  <c r="F21" i="9" s="1"/>
  <c r="L12" i="2"/>
  <c r="K21" i="9" s="1"/>
  <c r="C21" i="9" l="1"/>
  <c r="P12" i="2"/>
  <c r="O21" i="9" l="1"/>
  <c r="T14" i="8" l="1"/>
  <c r="R14" i="8"/>
  <c r="J15" i="8"/>
  <c r="L15" i="8"/>
  <c r="G15" i="8"/>
  <c r="M15" i="8"/>
  <c r="Q14" i="8"/>
  <c r="S14" i="8"/>
  <c r="K15" i="8"/>
  <c r="D46" i="6" l="1"/>
  <c r="E46" i="6"/>
  <c r="F46" i="6"/>
  <c r="G46" i="6"/>
  <c r="D50" i="6"/>
  <c r="D6" i="2"/>
  <c r="H46" i="6"/>
  <c r="F50" i="6"/>
  <c r="E50" i="6"/>
  <c r="E6" i="2"/>
  <c r="F6" i="2"/>
  <c r="I46" i="6"/>
  <c r="G50" i="6"/>
  <c r="H50" i="6"/>
  <c r="G6" i="2"/>
  <c r="H6" i="2"/>
  <c r="J46" i="6"/>
  <c r="I50" i="6"/>
  <c r="I6" i="2"/>
  <c r="K46" i="6"/>
  <c r="J50" i="6"/>
  <c r="L46" i="6"/>
  <c r="J6" i="2"/>
  <c r="K50" i="6"/>
  <c r="M46" i="6"/>
  <c r="K6" i="2"/>
  <c r="N46" i="6"/>
  <c r="L50" i="6"/>
  <c r="L6" i="2"/>
  <c r="M50" i="6"/>
  <c r="O46" i="6"/>
  <c r="M6" i="2"/>
  <c r="N50" i="6"/>
  <c r="N6" i="2"/>
  <c r="O50" i="6"/>
  <c r="O6" i="2"/>
  <c r="J58" i="6"/>
  <c r="O58" i="6"/>
  <c r="I58" i="6"/>
  <c r="H58" i="6"/>
  <c r="F58" i="6"/>
  <c r="G58" i="6"/>
  <c r="D58" i="6"/>
  <c r="E58" i="6"/>
  <c r="J10" i="5"/>
  <c r="I18" i="5"/>
  <c r="I17" i="5"/>
  <c r="I10" i="5"/>
  <c r="E8" i="2"/>
  <c r="D5" i="9"/>
  <c r="I5" i="9"/>
  <c r="I8" i="2"/>
  <c r="H5" i="9"/>
  <c r="J8" i="2" l="1"/>
  <c r="H17" i="5"/>
  <c r="H18" i="5"/>
  <c r="H10" i="5"/>
  <c r="F18" i="5"/>
  <c r="F17" i="5"/>
  <c r="F10" i="5"/>
  <c r="H8" i="2"/>
  <c r="G5" i="9"/>
  <c r="G15" i="9" s="1"/>
  <c r="E5" i="9"/>
  <c r="F8" i="2"/>
  <c r="G10" i="5"/>
  <c r="G17" i="5"/>
  <c r="G18" i="5"/>
  <c r="F5" i="9"/>
  <c r="G8" i="2"/>
  <c r="D17" i="5"/>
  <c r="C5" i="9"/>
  <c r="D10" i="5"/>
  <c r="D18" i="5"/>
  <c r="D8" i="2"/>
  <c r="E10" i="5"/>
  <c r="E17" i="5"/>
  <c r="E18" i="5"/>
  <c r="J18" i="5"/>
  <c r="J17" i="5"/>
  <c r="I6" i="9"/>
  <c r="I13" i="10"/>
  <c r="R12" i="9"/>
  <c r="F19" i="5"/>
  <c r="I7" i="5"/>
  <c r="D15" i="9"/>
  <c r="R15" i="9" s="1"/>
  <c r="D16" i="9"/>
  <c r="R16" i="9" s="1"/>
  <c r="I14" i="9"/>
  <c r="I8" i="9"/>
  <c r="W8" i="9" s="1"/>
  <c r="H6" i="9"/>
  <c r="H13" i="10"/>
  <c r="H8" i="9"/>
  <c r="V8" i="9" s="1"/>
  <c r="H19" i="5"/>
  <c r="R5" i="9"/>
  <c r="W5" i="9"/>
  <c r="W12" i="9"/>
  <c r="J7" i="5"/>
  <c r="J12" i="5" s="1"/>
  <c r="J9" i="2"/>
  <c r="I9" i="2"/>
  <c r="K58" i="6"/>
  <c r="M58" i="6"/>
  <c r="L58" i="6"/>
  <c r="N58" i="6"/>
  <c r="O17" i="5"/>
  <c r="O18" i="5"/>
  <c r="O10" i="5"/>
  <c r="O7" i="5" s="1"/>
  <c r="O12" i="5" s="1"/>
  <c r="M5" i="9"/>
  <c r="M14" i="9" s="1"/>
  <c r="N5" i="9"/>
  <c r="O8" i="2"/>
  <c r="N8" i="2"/>
  <c r="K18" i="5"/>
  <c r="M18" i="5"/>
  <c r="M17" i="5"/>
  <c r="J5" i="9"/>
  <c r="M10" i="5"/>
  <c r="L5" i="9"/>
  <c r="M8" i="2"/>
  <c r="L8" i="2"/>
  <c r="K5" i="9"/>
  <c r="K17" i="5"/>
  <c r="K10" i="5"/>
  <c r="N10" i="5"/>
  <c r="N18" i="5"/>
  <c r="N17" i="5"/>
  <c r="M19" i="5"/>
  <c r="O19" i="5"/>
  <c r="K8" i="2"/>
  <c r="L10" i="5"/>
  <c r="L19" i="5" s="1"/>
  <c r="L17" i="5"/>
  <c r="L18" i="5"/>
  <c r="W14" i="9"/>
  <c r="P46" i="6"/>
  <c r="P50" i="6" s="1"/>
  <c r="P6" i="2"/>
  <c r="U15" i="9"/>
  <c r="G14" i="9"/>
  <c r="U14" i="9" s="1"/>
  <c r="V5" i="9"/>
  <c r="V12" i="9"/>
  <c r="J19" i="5"/>
  <c r="I19" i="5"/>
  <c r="D14" i="9"/>
  <c r="R14" i="9" s="1"/>
  <c r="I15" i="9"/>
  <c r="W15" i="9" s="1"/>
  <c r="H16" i="9"/>
  <c r="V16" i="9" s="1"/>
  <c r="D6" i="9"/>
  <c r="R6" i="9" s="1"/>
  <c r="D8" i="9"/>
  <c r="R8" i="9" s="1"/>
  <c r="I16" i="9"/>
  <c r="W16" i="9" s="1"/>
  <c r="H14" i="9"/>
  <c r="V14" i="9" s="1"/>
  <c r="H15" i="9"/>
  <c r="V15" i="9" s="1"/>
  <c r="D13" i="10"/>
  <c r="H9" i="2" l="1"/>
  <c r="H7" i="5"/>
  <c r="F9" i="2"/>
  <c r="F7" i="5"/>
  <c r="G16" i="9"/>
  <c r="U16" i="9" s="1"/>
  <c r="E14" i="9"/>
  <c r="S14" i="9" s="1"/>
  <c r="E15" i="9"/>
  <c r="S15" i="9" s="1"/>
  <c r="E16" i="9"/>
  <c r="S16" i="9" s="1"/>
  <c r="Q12" i="9"/>
  <c r="U5" i="9"/>
  <c r="U12" i="9"/>
  <c r="S12" i="9"/>
  <c r="T12" i="9"/>
  <c r="C13" i="10"/>
  <c r="D9" i="2"/>
  <c r="C8" i="9"/>
  <c r="E9" i="2"/>
  <c r="E19" i="5"/>
  <c r="G8" i="9"/>
  <c r="U8" i="9" s="1"/>
  <c r="G13" i="10"/>
  <c r="E13" i="10"/>
  <c r="G6" i="9"/>
  <c r="U6" i="9" s="1"/>
  <c r="E6" i="9"/>
  <c r="S6" i="9" s="1"/>
  <c r="E8" i="9"/>
  <c r="S8" i="9" s="1"/>
  <c r="G7" i="5"/>
  <c r="G9" i="2"/>
  <c r="F14" i="9"/>
  <c r="T14" i="9" s="1"/>
  <c r="F16" i="9"/>
  <c r="T16" i="9" s="1"/>
  <c r="F15" i="9"/>
  <c r="T15" i="9" s="1"/>
  <c r="F6" i="9"/>
  <c r="T6" i="9" s="1"/>
  <c r="F13" i="10"/>
  <c r="F8" i="9"/>
  <c r="T8" i="9" s="1"/>
  <c r="Q5" i="9"/>
  <c r="S5" i="9"/>
  <c r="T5" i="9"/>
  <c r="C16" i="9"/>
  <c r="C6" i="9"/>
  <c r="D7" i="5"/>
  <c r="D19" i="5"/>
  <c r="C15" i="9"/>
  <c r="C14" i="9"/>
  <c r="G19" i="5"/>
  <c r="E7" i="5"/>
  <c r="I12" i="5"/>
  <c r="I16" i="5"/>
  <c r="C7" i="9"/>
  <c r="G7" i="9"/>
  <c r="I7" i="9"/>
  <c r="W6" i="9"/>
  <c r="H7" i="9"/>
  <c r="V6" i="9"/>
  <c r="E7" i="9"/>
  <c r="F7" i="9"/>
  <c r="J16" i="5"/>
  <c r="M13" i="10"/>
  <c r="M8" i="9"/>
  <c r="AA8" i="9" s="1"/>
  <c r="AA14" i="9"/>
  <c r="AB12" i="9"/>
  <c r="N13" i="10"/>
  <c r="N8" i="9"/>
  <c r="AB8" i="9" s="1"/>
  <c r="N6" i="9"/>
  <c r="AB6" i="9" s="1"/>
  <c r="J13" i="10"/>
  <c r="J16" i="9"/>
  <c r="X16" i="9" s="1"/>
  <c r="J8" i="9"/>
  <c r="X8" i="9" s="1"/>
  <c r="J6" i="9"/>
  <c r="X6" i="9" s="1"/>
  <c r="J15" i="9"/>
  <c r="X15" i="9" s="1"/>
  <c r="J14" i="9"/>
  <c r="X14" i="9" s="1"/>
  <c r="M7" i="5"/>
  <c r="M9" i="2"/>
  <c r="L16" i="9"/>
  <c r="Z16" i="9" s="1"/>
  <c r="L14" i="9"/>
  <c r="Z14" i="9" s="1"/>
  <c r="AA5" i="9"/>
  <c r="AA12" i="9"/>
  <c r="AB5" i="9"/>
  <c r="Z12" i="9"/>
  <c r="P8" i="2"/>
  <c r="P7" i="2" s="1"/>
  <c r="K9" i="2"/>
  <c r="N9" i="2"/>
  <c r="N19" i="5"/>
  <c r="K19" i="5"/>
  <c r="O9" i="2"/>
  <c r="M15" i="9"/>
  <c r="AA15" i="9" s="1"/>
  <c r="M16" i="9"/>
  <c r="AA16" i="9" s="1"/>
  <c r="N14" i="9"/>
  <c r="AB14" i="9" s="1"/>
  <c r="N16" i="9"/>
  <c r="AB16" i="9" s="1"/>
  <c r="M6" i="9"/>
  <c r="AA6" i="9" s="1"/>
  <c r="L15" i="9"/>
  <c r="Z15" i="9" s="1"/>
  <c r="L13" i="10"/>
  <c r="L6" i="9"/>
  <c r="Z6" i="9" s="1"/>
  <c r="L8" i="9"/>
  <c r="Z8" i="9" s="1"/>
  <c r="L7" i="5"/>
  <c r="L9" i="2"/>
  <c r="K14" i="9"/>
  <c r="Y14" i="9" s="1"/>
  <c r="K15" i="9"/>
  <c r="Y15" i="9" s="1"/>
  <c r="K16" i="9"/>
  <c r="Y16" i="9" s="1"/>
  <c r="O5" i="9"/>
  <c r="K6" i="9"/>
  <c r="Y6" i="9" s="1"/>
  <c r="K8" i="9"/>
  <c r="Y8" i="9" s="1"/>
  <c r="K13" i="10"/>
  <c r="X5" i="9"/>
  <c r="X12" i="9"/>
  <c r="Z5" i="9"/>
  <c r="Y5" i="9"/>
  <c r="Y12" i="9"/>
  <c r="K7" i="5"/>
  <c r="N7" i="5"/>
  <c r="N12" i="5" s="1"/>
  <c r="N15" i="9"/>
  <c r="AB15" i="9" s="1"/>
  <c r="K7" i="9"/>
  <c r="O16" i="5"/>
  <c r="O20" i="5" s="1"/>
  <c r="O10" i="2" s="1"/>
  <c r="N13" i="9" s="1"/>
  <c r="AB13" i="9" s="1"/>
  <c r="P18" i="5"/>
  <c r="P17" i="5"/>
  <c r="D7" i="9"/>
  <c r="P58" i="6"/>
  <c r="D9" i="9"/>
  <c r="R7" i="9"/>
  <c r="H16" i="5" l="1"/>
  <c r="H20" i="5" s="1"/>
  <c r="H10" i="2" s="1"/>
  <c r="G13" i="9" s="1"/>
  <c r="U13" i="9" s="1"/>
  <c r="H12" i="5"/>
  <c r="F16" i="5"/>
  <c r="F20" i="5" s="1"/>
  <c r="F10" i="2" s="1"/>
  <c r="E13" i="9" s="1"/>
  <c r="S13" i="9" s="1"/>
  <c r="F12" i="5"/>
  <c r="J7" i="9"/>
  <c r="J20" i="5"/>
  <c r="J10" i="2" s="1"/>
  <c r="I13" i="9" s="1"/>
  <c r="W13" i="9" s="1"/>
  <c r="Q8" i="9"/>
  <c r="G16" i="5"/>
  <c r="G20" i="5" s="1"/>
  <c r="G10" i="2" s="1"/>
  <c r="F13" i="9" s="1"/>
  <c r="T13" i="9" s="1"/>
  <c r="G12" i="5"/>
  <c r="Q16" i="9"/>
  <c r="Q6" i="9"/>
  <c r="D16" i="5"/>
  <c r="D12" i="5"/>
  <c r="Q15" i="9"/>
  <c r="Q14" i="9"/>
  <c r="E16" i="5"/>
  <c r="E20" i="5" s="1"/>
  <c r="E10" i="2" s="1"/>
  <c r="D13" i="9" s="1"/>
  <c r="R13" i="9" s="1"/>
  <c r="E12" i="5"/>
  <c r="C9" i="9"/>
  <c r="Q7" i="9"/>
  <c r="U7" i="9"/>
  <c r="G9" i="9"/>
  <c r="I9" i="9"/>
  <c r="W7" i="9"/>
  <c r="H9" i="9"/>
  <c r="V7" i="9"/>
  <c r="E9" i="9"/>
  <c r="S7" i="9"/>
  <c r="F9" i="9"/>
  <c r="T7" i="9"/>
  <c r="I20" i="5"/>
  <c r="I10" i="2" s="1"/>
  <c r="H13" i="9" s="1"/>
  <c r="V13" i="9" s="1"/>
  <c r="N7" i="9"/>
  <c r="M16" i="5"/>
  <c r="M20" i="5" s="1"/>
  <c r="M10" i="2" s="1"/>
  <c r="L13" i="9" s="1"/>
  <c r="Z13" i="9" s="1"/>
  <c r="M12" i="5"/>
  <c r="K16" i="5"/>
  <c r="K20" i="5" s="1"/>
  <c r="K10" i="2" s="1"/>
  <c r="J13" i="9" s="1"/>
  <c r="X13" i="9" s="1"/>
  <c r="K12" i="5"/>
  <c r="N16" i="5"/>
  <c r="N20" i="5" s="1"/>
  <c r="N10" i="2" s="1"/>
  <c r="M13" i="9" s="1"/>
  <c r="AA13" i="9" s="1"/>
  <c r="M7" i="9"/>
  <c r="L7" i="9"/>
  <c r="O8" i="9"/>
  <c r="AC8" i="9" s="1"/>
  <c r="L16" i="5"/>
  <c r="L20" i="5" s="1"/>
  <c r="L10" i="2" s="1"/>
  <c r="K13" i="9" s="1"/>
  <c r="Y13" i="9" s="1"/>
  <c r="L12" i="5"/>
  <c r="AC5" i="9"/>
  <c r="AC12" i="9"/>
  <c r="O16" i="9"/>
  <c r="AC16" i="9" s="1"/>
  <c r="O6" i="9"/>
  <c r="AC6" i="9" s="1"/>
  <c r="O15" i="9"/>
  <c r="AC15" i="9" s="1"/>
  <c r="O14" i="9"/>
  <c r="AC14" i="9" s="1"/>
  <c r="K9" i="9"/>
  <c r="Y7" i="9"/>
  <c r="O13" i="10"/>
  <c r="P19" i="5"/>
  <c r="D10" i="9"/>
  <c r="R10" i="9"/>
  <c r="K10" i="9"/>
  <c r="Y10" i="9"/>
  <c r="J9" i="9" l="1"/>
  <c r="X7" i="9"/>
  <c r="I13" i="8"/>
  <c r="I6" i="8"/>
  <c r="D20" i="5"/>
  <c r="C10" i="9"/>
  <c r="Q10" i="9"/>
  <c r="U10" i="9"/>
  <c r="G10" i="9"/>
  <c r="I10" i="9"/>
  <c r="W10" i="9"/>
  <c r="H10" i="9"/>
  <c r="V10" i="9"/>
  <c r="S10" i="9"/>
  <c r="E10" i="9"/>
  <c r="F10" i="9"/>
  <c r="T10" i="9"/>
  <c r="N9" i="9"/>
  <c r="AB7" i="9"/>
  <c r="I7" i="8"/>
  <c r="I8" i="8"/>
  <c r="I9" i="8"/>
  <c r="I10" i="8"/>
  <c r="I11" i="8"/>
  <c r="I12" i="8"/>
  <c r="Z7" i="9"/>
  <c r="L9" i="9"/>
  <c r="O7" i="9"/>
  <c r="AC7" i="9" s="1"/>
  <c r="M9" i="9"/>
  <c r="AA7" i="9"/>
  <c r="H7" i="8"/>
  <c r="H8" i="8"/>
  <c r="H9" i="8"/>
  <c r="H10" i="8"/>
  <c r="H11" i="8"/>
  <c r="H12" i="8"/>
  <c r="H13" i="8"/>
  <c r="H6" i="8"/>
  <c r="P16" i="5"/>
  <c r="O9" i="9"/>
  <c r="I14" i="8"/>
  <c r="I15" i="8" s="1"/>
  <c r="N6" i="8"/>
  <c r="D10" i="2"/>
  <c r="P20" i="5"/>
  <c r="G17" i="9"/>
  <c r="K17" i="9"/>
  <c r="I17" i="9"/>
  <c r="H17" i="9"/>
  <c r="E17" i="9"/>
  <c r="F17" i="9"/>
  <c r="D17" i="9"/>
  <c r="X10" i="9" l="1"/>
  <c r="J10" i="9"/>
  <c r="J17" i="9" s="1"/>
  <c r="H14" i="8"/>
  <c r="H15" i="8" s="1"/>
  <c r="N7" i="8"/>
  <c r="O7" i="8" s="1"/>
  <c r="N8" i="8"/>
  <c r="O8" i="8" s="1"/>
  <c r="AB10" i="9"/>
  <c r="N10" i="9"/>
  <c r="N17" i="9" s="1"/>
  <c r="Z10" i="9"/>
  <c r="L10" i="9"/>
  <c r="AA10" i="9"/>
  <c r="M10" i="9"/>
  <c r="N9" i="8"/>
  <c r="O9" i="8" s="1"/>
  <c r="N10" i="8"/>
  <c r="O10" i="8" s="1"/>
  <c r="N11" i="8"/>
  <c r="O11" i="8" s="1"/>
  <c r="N12" i="8"/>
  <c r="O12" i="8" s="1"/>
  <c r="N13" i="8"/>
  <c r="O13" i="8" s="1"/>
  <c r="AC10" i="9"/>
  <c r="O10" i="9"/>
  <c r="O6" i="8"/>
  <c r="P10" i="2"/>
  <c r="C13" i="9"/>
  <c r="U17" i="9"/>
  <c r="G14" i="10"/>
  <c r="G18" i="9"/>
  <c r="Y17" i="9"/>
  <c r="K18" i="9"/>
  <c r="K14" i="10"/>
  <c r="W17" i="9"/>
  <c r="I14" i="10"/>
  <c r="I18" i="9"/>
  <c r="V17" i="9"/>
  <c r="H14" i="10"/>
  <c r="H18" i="9"/>
  <c r="S17" i="9"/>
  <c r="E18" i="9"/>
  <c r="E14" i="10"/>
  <c r="F14" i="10"/>
  <c r="T17" i="9"/>
  <c r="F18" i="9"/>
  <c r="R17" i="9"/>
  <c r="D14" i="10"/>
  <c r="D18" i="9"/>
  <c r="M17" i="9" l="1"/>
  <c r="L17" i="9"/>
  <c r="J18" i="9"/>
  <c r="J14" i="10"/>
  <c r="X17" i="9"/>
  <c r="N14" i="8"/>
  <c r="N14" i="10"/>
  <c r="N18" i="9"/>
  <c r="AB17" i="9"/>
  <c r="Z17" i="9"/>
  <c r="L18" i="9"/>
  <c r="L14" i="10"/>
  <c r="N15" i="8"/>
  <c r="O14" i="8"/>
  <c r="C17" i="9"/>
  <c r="O13" i="9"/>
  <c r="AC13" i="9" s="1"/>
  <c r="Q13" i="9"/>
  <c r="G19" i="9"/>
  <c r="G23" i="9"/>
  <c r="K23" i="9"/>
  <c r="K19" i="9"/>
  <c r="I23" i="9"/>
  <c r="I19" i="9"/>
  <c r="H19" i="9"/>
  <c r="H23" i="9"/>
  <c r="E19" i="9"/>
  <c r="E23" i="9"/>
  <c r="F23" i="9"/>
  <c r="F19" i="9"/>
  <c r="D19" i="9"/>
  <c r="D23" i="9"/>
  <c r="M14" i="10" l="1"/>
  <c r="M18" i="9"/>
  <c r="AA17" i="9"/>
  <c r="J23" i="9"/>
  <c r="J19" i="9"/>
  <c r="N23" i="9"/>
  <c r="N19" i="9"/>
  <c r="L23" i="9"/>
  <c r="L19" i="9"/>
  <c r="O17" i="9"/>
  <c r="Q17" i="9"/>
  <c r="C14" i="10"/>
  <c r="C18" i="9"/>
  <c r="G15" i="10"/>
  <c r="G25" i="9"/>
  <c r="K25" i="9"/>
  <c r="K15" i="10"/>
  <c r="I15" i="10"/>
  <c r="I25" i="9"/>
  <c r="H15" i="10"/>
  <c r="H25" i="9"/>
  <c r="E25" i="9"/>
  <c r="E15" i="10"/>
  <c r="F25" i="9"/>
  <c r="F15" i="10"/>
  <c r="D25" i="9"/>
  <c r="D15" i="10"/>
  <c r="M23" i="9" l="1"/>
  <c r="M19" i="9"/>
  <c r="J15" i="10"/>
  <c r="J25" i="9"/>
  <c r="O14" i="10"/>
  <c r="N25" i="9"/>
  <c r="N15" i="10"/>
  <c r="L25" i="9"/>
  <c r="L15" i="10"/>
  <c r="AC17" i="9"/>
  <c r="C6" i="10"/>
  <c r="O18" i="9"/>
  <c r="C23" i="9"/>
  <c r="C19" i="9"/>
  <c r="M25" i="9" l="1"/>
  <c r="M15" i="10"/>
  <c r="C24" i="9"/>
  <c r="O23" i="9"/>
  <c r="C7" i="10" s="1"/>
  <c r="C15" i="10"/>
  <c r="O15" i="10" s="1"/>
  <c r="C25" i="9"/>
  <c r="G8" i="10" s="1"/>
  <c r="C16" i="10" l="1"/>
  <c r="D24" i="9"/>
  <c r="E24" i="9" l="1"/>
  <c r="D16" i="10"/>
  <c r="E16" i="10" l="1"/>
  <c r="F24" i="9"/>
  <c r="F16" i="10" l="1"/>
  <c r="G24" i="9"/>
  <c r="H24" i="9" l="1"/>
  <c r="G16" i="10"/>
  <c r="I24" i="9" l="1"/>
  <c r="H16" i="10"/>
  <c r="J24" i="9" l="1"/>
  <c r="I16" i="10"/>
  <c r="K24" i="9" l="1"/>
  <c r="J16" i="10"/>
  <c r="L24" i="9" l="1"/>
  <c r="K16" i="10"/>
  <c r="L16" i="10" l="1"/>
  <c r="M24" i="9"/>
  <c r="M16" i="10" l="1"/>
  <c r="N24" i="9"/>
  <c r="C8" i="10" l="1"/>
  <c r="G7" i="10" s="1"/>
  <c r="O24" i="9"/>
  <c r="N16" i="10"/>
  <c r="O16" i="10" s="1"/>
</calcChain>
</file>

<file path=xl/sharedStrings.xml><?xml version="1.0" encoding="utf-8"?>
<sst xmlns="http://schemas.openxmlformats.org/spreadsheetml/2006/main" count="974" uniqueCount="271">
  <si>
    <t>PharmaLink 360 - Simulador Integrado de Turnaround Retail &amp; Omnicanalidad</t>
  </si>
  <si>
    <t>Variable</t>
  </si>
  <si>
    <t>Valor</t>
  </si>
  <si>
    <t>Objetivos del caso</t>
  </si>
  <si>
    <t>Horizonte del simulador</t>
  </si>
  <si>
    <t>12 meses</t>
  </si>
  <si>
    <t>1</t>
  </si>
  <si>
    <t>Construir presupuesto anual de 12 meses</t>
  </si>
  <si>
    <t>Mes de inicio</t>
  </si>
  <si>
    <t>Mes 1</t>
  </si>
  <si>
    <t>2</t>
  </si>
  <si>
    <t>Diseñar Plan 100 días con quick wins accionables</t>
  </si>
  <si>
    <t>KPI madre</t>
  </si>
  <si>
    <t>EBITDA ajustado por Cost-to-Serve + sostenibilidad de caja</t>
  </si>
  <si>
    <t>3</t>
  </si>
  <si>
    <t>Maximizar EBITDA ajustado por Cost-to-Serve</t>
  </si>
  <si>
    <t>Punto de partida</t>
  </si>
  <si>
    <t>Resultado operativo positivo / flujo de caja negativo</t>
  </si>
  <si>
    <t>4</t>
  </si>
  <si>
    <t>Revertir flujo de caja negativo sin destruir la red</t>
  </si>
  <si>
    <t>Ventas Mes 0 (ARS MM)</t>
  </si>
  <si>
    <t>5</t>
  </si>
  <si>
    <t>Defender decisiones con datos de los simuladores</t>
  </si>
  <si>
    <t>EBITDA Mes 0 (ARS MM)</t>
  </si>
  <si>
    <t>Caja inicial Mes 0 (ARS MM)</t>
  </si>
  <si>
    <t>Hard constraints</t>
  </si>
  <si>
    <t>Inventario inicial (ARS MM)</t>
  </si>
  <si>
    <t>CAPEX</t>
  </si>
  <si>
    <t>No superar presupuesto total</t>
  </si>
  <si>
    <t>DDI inicial ponderado</t>
  </si>
  <si>
    <t>Caja</t>
  </si>
  <si>
    <t>No más de 3 meses seguidos de FCF negativo</t>
  </si>
  <si>
    <t>CAPEX máximo (ARS MM)</t>
  </si>
  <si>
    <t>Máx. meses consecutivos de FCF negativo</t>
  </si>
  <si>
    <t>Inflación mensual costos</t>
  </si>
  <si>
    <t>Factor IPC + personal/alquileres</t>
  </si>
  <si>
    <t>FX referencia ARS/USD</t>
  </si>
  <si>
    <t>Master Variables - capa de integracion unica hacia P&amp;L y Caja</t>
  </si>
  <si>
    <t>Mes 0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</si>
  <si>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</si>
  <si>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</si>
  <si>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</si>
  <si>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</si>
  <si>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</si>
  <si>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</si>
  <si>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</si>
  <si>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</si>
  <si>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Mes 10</t>
  </si>
  <si>
    <t>Mes 11</t>
  </si>
  <si>
    <t>Mes 12</t>
  </si>
  <si>
    <t>Revenue simulado</t>
  </si>
  <si>
    <t>Margen bruto %</t>
  </si>
  <si>
    <t>Margen bruto</t>
  </si>
  <si>
    <t>Penetracion digital target</t>
  </si>
  <si>
    <t>Costo logistico</t>
  </si>
  <si>
    <t>Inventario</t>
  </si>
  <si>
    <t>Liberacion / absorcion WC</t>
  </si>
  <si>
    <t>Marketing</t>
  </si>
  <si>
    <t>Simulador 1 - Pricing &amp; Elasticidad</t>
  </si>
  <si>
    <t>Categoria</t>
  </si>
  <si>
    <t>Ventas Base Mes 0
(ARS MM)</t>
  </si>
  <si>
    <t>Margen % Base</t>
  </si>
  <si>
    <t>Elasticidad</t>
  </si>
  <si>
    <t>Medicamentos A</t>
  </si>
  <si>
    <t>Nutricion</t>
  </si>
  <si>
    <t>Parafarmacia</t>
  </si>
  <si>
    <t>Suplementos</t>
  </si>
  <si>
    <t>Venta Libre</t>
  </si>
  <si>
    <t>Cuidado Bucal</t>
  </si>
  <si>
    <t>Cuidado Piel</t>
  </si>
  <si>
    <t>Bebe y Mama</t>
  </si>
  <si>
    <t>Cuidado Cabello</t>
  </si>
  <si>
    <t>Cuidado Personal</t>
  </si>
  <si>
    <t>Dermocosmetica</t>
  </si>
  <si>
    <t>TOTAL</t>
  </si>
  <si>
    <t>Simulador 2 - CatMan, Surtido, Cobertura y DDI</t>
  </si>
  <si>
    <t>SKUs Base</t>
  </si>
  <si>
    <t>Cobertura %</t>
  </si>
  <si>
    <t>Reduccion SKUs %</t>
  </si>
  <si>
    <t>DDI Objetivo</t>
  </si>
  <si>
    <t>Quiebre Estimado %</t>
  </si>
  <si>
    <t>Merma %</t>
  </si>
  <si>
    <t>TOTAL / POND.</t>
  </si>
  <si>
    <t>Simulador 3 - Digital, Fulfillment y Cost-to-Serve</t>
  </si>
  <si>
    <t>Costo-to-Serve %</t>
  </si>
  <si>
    <t>SLA Prometido</t>
  </si>
  <si>
    <t>Penalidad SLA</t>
  </si>
  <si>
    <t>Costo Logistico
(ARS MM)</t>
  </si>
  <si>
    <t>Score Servicio</t>
  </si>
  <si>
    <t>Tienda Fisica</t>
  </si>
  <si>
    <t>Inmediato</t>
  </si>
  <si>
    <t>Delivery</t>
  </si>
  <si>
    <t>24/48 hs</t>
  </si>
  <si>
    <t>Pick-up</t>
  </si>
  <si>
    <t>4 hs</t>
  </si>
  <si>
    <t>Hub/Dark Store</t>
  </si>
  <si>
    <t>Same day</t>
  </si>
  <si>
    <t>TOTAL / CONTROL</t>
  </si>
  <si>
    <t>Criterios Digital</t>
  </si>
  <si>
    <t>Delivery es un % target configurable; no debe asumirse gratis.</t>
  </si>
  <si>
    <t>Apertura/cierre de PDV modifica venta y costo logístico por zona.</t>
  </si>
  <si>
    <t>Hubs/Dark Store priorizan Éticos y eficiencia de última milla.</t>
  </si>
  <si>
    <t>Simulador 4 - CLV, Segmentacion y Marketing</t>
  </si>
  <si>
    <t>Segmento</t>
  </si>
  <si>
    <t># Clientes Base</t>
  </si>
  <si>
    <t>Ticket Promedio</t>
  </si>
  <si>
    <t>Frecuencia Mensual</t>
  </si>
  <si>
    <t>Churn Base %</t>
  </si>
  <si>
    <t>Churn Ajustado %</t>
  </si>
  <si>
    <t>Clientes Finales</t>
  </si>
  <si>
    <t>VIPs</t>
  </si>
  <si>
    <t>Riesgo Fuga</t>
  </si>
  <si>
    <t>Oportunistas</t>
  </si>
  <si>
    <t>Formato</t>
  </si>
  <si>
    <t>Zona</t>
  </si>
  <si>
    <t>Aperturas</t>
  </si>
  <si>
    <t>Cierres</t>
  </si>
  <si>
    <t>Tiendas Finales</t>
  </si>
  <si>
    <t>CAPEX Apertura
(ARS MM)</t>
  </si>
  <si>
    <t>Flagship</t>
  </si>
  <si>
    <t>CABA</t>
  </si>
  <si>
    <t>GBA</t>
  </si>
  <si>
    <t>Standard</t>
  </si>
  <si>
    <t>Proximidad</t>
  </si>
  <si>
    <t>P&amp;L Base por Tipo de PDV y Zona</t>
  </si>
  <si>
    <t>Ventas Mensual</t>
  </si>
  <si>
    <t>Margen %</t>
  </si>
  <si>
    <t>Margen Bruto</t>
  </si>
  <si>
    <t>Gastos Personal</t>
  </si>
  <si>
    <t>Alquileres</t>
  </si>
  <si>
    <t>G&amp;A/Otros</t>
  </si>
  <si>
    <t>Logistica</t>
  </si>
  <si>
    <t>EBITDA</t>
  </si>
  <si>
    <t>EBITDA %</t>
  </si>
  <si>
    <t>Core Economico-Financiero - P&amp;L mensual, Cashflow y Constraints</t>
  </si>
  <si>
    <t>Linea P&amp;L / Caja</t>
  </si>
  <si>
    <t>Total</t>
  </si>
  <si>
    <t>Ventas netas</t>
  </si>
  <si>
    <t>Costo de ventas</t>
  </si>
  <si>
    <t>Mermas y vencidos</t>
  </si>
  <si>
    <t>Margen final</t>
  </si>
  <si>
    <t>Gastos logisticos</t>
  </si>
  <si>
    <t>Personal operaciones</t>
  </si>
  <si>
    <t>Alquileres + expensas</t>
  </si>
  <si>
    <t>G&amp;A / Central</t>
  </si>
  <si>
    <t>EBITDA operativo</t>
  </si>
  <si>
    <t>EBITDA ajustado Cost-to-Serve</t>
  </si>
  <si>
    <t>Flujo de caja libre</t>
  </si>
  <si>
    <t>Caja final</t>
  </si>
  <si>
    <t>Alerta FCF negativo</t>
  </si>
  <si>
    <t>Dashboard Ejecutivo - PharmaLink 360</t>
  </si>
  <si>
    <t>KPI</t>
  </si>
  <si>
    <t>Resultado</t>
  </si>
  <si>
    <t>Alertas</t>
  </si>
  <si>
    <t>EBITDA anual</t>
  </si>
  <si>
    <t>CAPEX &gt; limite</t>
  </si>
  <si>
    <t>FCF anual</t>
  </si>
  <si>
    <t>Caja final negativa</t>
  </si>
  <si>
    <t>Meses FCF negativo</t>
  </si>
  <si>
    <t>CAPEX utilizado</t>
  </si>
  <si>
    <t>Validacion cierres red</t>
  </si>
  <si>
    <t>Mes</t>
  </si>
  <si>
    <t>Ventas</t>
  </si>
  <si>
    <t>FCF</t>
  </si>
  <si>
    <t>Caja Final</t>
  </si>
  <si>
    <t>Considera que baja a DDI obj en el mes 2 , porque multiplica por 65%</t>
  </si>
  <si>
    <t>🟡 Celdas amarillas = INPUTS</t>
  </si>
  <si>
    <t>Son las únicas que deberían modificar:</t>
  </si>
  <si>
    <t>Pricing (precios / promos)</t>
  </si>
  <si>
    <t>DDI / surtido</t>
  </si>
  <si>
    <t>Mix digital</t>
  </si>
  <si>
    <t>Estrategia logística</t>
  </si>
  <si>
    <t>Inversión en marketing</t>
  </si>
  <si>
    <t>Aperturas / cierres (si aplica)</t>
  </si>
  <si>
    <t>👉 Representan decisiones estratégicas reales.</t>
  </si>
  <si>
    <t>🔵 / 🔴 Outputs (según hoja)</t>
  </si>
  <si>
    <t>P&amp;L</t>
  </si>
  <si>
    <t>👉 Son el resultado de las decisiones.</t>
  </si>
  <si>
    <t>🧠 2. CÓMO FUNCIONA EL SIMULADOR</t>
  </si>
  <si>
    <t>El modelo replica un negocio real con 5 motores:</t>
  </si>
  <si>
    <t>1. 💰 Pricing</t>
  </si>
  <si>
    <t>2. 🛒 Surtido / DDI</t>
  </si>
  <si>
    <t>3. 📲 Canal Digital</t>
  </si>
  <si>
    <t>4. 🚚 Logística</t>
  </si>
  <si>
    <t>5. 👤 Clientes (CLV)</t>
  </si>
  <si>
    <t>Todas sus decisiones impactan en:</t>
  </si>
  <si>
    <r>
      <t xml:space="preserve">👉 </t>
    </r>
    <r>
      <rPr>
        <b/>
        <sz val="11"/>
        <rFont val="Carlito"/>
      </rPr>
      <t>P&amp;L + Flujo de Caja + Riesgo del negocio</t>
    </r>
  </si>
  <si>
    <t>⚙️ 4. QUÉ DECISIONES PUEDEN TOMAR</t>
  </si>
  <si>
    <t>💰 Pricing</t>
  </si>
  <si>
    <t>Subir / bajar precios</t>
  </si>
  <si>
    <t>👉 Impacta:</t>
  </si>
  <si>
    <t>volumen</t>
  </si>
  <si>
    <t>margen</t>
  </si>
  <si>
    <t>🛒 Surtido &amp; DDI</t>
  </si>
  <si>
    <t>Reducir SKUs</t>
  </si>
  <si>
    <t>Ajustar días de inventario</t>
  </si>
  <si>
    <t>ventas</t>
  </si>
  <si>
    <t>capital de trabajo</t>
  </si>
  <si>
    <t>quiebres de stock</t>
  </si>
  <si>
    <t>📲 Canal Digital</t>
  </si>
  <si>
    <t>% ventas digitales</t>
  </si>
  <si>
    <t>Mix delivery vs pick-up</t>
  </si>
  <si>
    <t>crecimiento</t>
  </si>
  <si>
    <t>costos logísticos</t>
  </si>
  <si>
    <t>🚚 Logística</t>
  </si>
  <si>
    <t>Modelo fulfillment</t>
  </si>
  <si>
    <t>Nivel de servicio (SLA)</t>
  </si>
  <si>
    <t>costo por pedido</t>
  </si>
  <si>
    <t>experiencia cliente</t>
  </si>
  <si>
    <t>👤 Clientes (CLV)</t>
  </si>
  <si>
    <t>Inversión en adquisición vs retención</t>
  </si>
  <si>
    <t>frecuencia</t>
  </si>
  <si>
    <t>churn</t>
  </si>
  <si>
    <t>revenue futuro</t>
  </si>
  <si>
    <t>💸 5. CÓMO LEER LOS RESULTADOS</t>
  </si>
  <si>
    <t>📊 P&amp;L</t>
  </si>
  <si>
    <t>Revenue</t>
  </si>
  <si>
    <t>Margen</t>
  </si>
  <si>
    <t>👉 Mide rentabilidad</t>
  </si>
  <si>
    <t>💸 Flujo de Caja (CLAVE)</t>
  </si>
  <si>
    <t>Capital de trabajo</t>
  </si>
  <si>
    <t>👉 Mide supervivencia</t>
  </si>
  <si>
    <t>🚨 Alertas</t>
  </si>
  <si>
    <t>Caja negativa</t>
  </si>
  <si>
    <t>CAPEX excedido</t>
  </si>
  <si>
    <t>🧠 Score de Consistencia</t>
  </si>
  <si>
    <t>Evalúa si su estrategia tiene sentido:</t>
  </si>
  <si>
    <t>pricing vs posicionamiento</t>
  </si>
  <si>
    <t>surtido vs eficiencia</t>
  </si>
  <si>
    <t>digital vs logística</t>
  </si>
  <si>
    <t>Costo Base Mes 0 (ARS MM)</t>
  </si>
  <si>
    <t>Vol Base Mes 0 (Units)</t>
  </si>
  <si>
    <t>PVP Base</t>
  </si>
  <si>
    <t>Costo Unitario Base</t>
  </si>
  <si>
    <t>Vol PDV Base</t>
  </si>
  <si>
    <t>PDV Base</t>
  </si>
  <si>
    <t>Medicamentos</t>
  </si>
  <si>
    <t>Revenue Simulado</t>
  </si>
  <si>
    <t>Cambio PVP %</t>
  </si>
  <si>
    <t>Margen Bruto Simulado</t>
  </si>
  <si>
    <t>MB %</t>
  </si>
  <si>
    <t>Revenue Ajustado</t>
  </si>
  <si>
    <t>Inventario (ARS MM)</t>
  </si>
  <si>
    <t>Liberación Caja (ARS MM)</t>
  </si>
  <si>
    <t>Aperturas  # PDV</t>
  </si>
  <si>
    <t>Aperturas PDV (ARS MM)</t>
  </si>
  <si>
    <t>Cierre  # PDV</t>
  </si>
  <si>
    <t>Cierre PDV (ARS MM)</t>
  </si>
  <si>
    <t>CAPEX PDV (ARS MM)</t>
  </si>
  <si>
    <t>Mix % Canal / Modelo</t>
  </si>
  <si>
    <t>Nuevos</t>
  </si>
  <si>
    <t>Foco Retención %</t>
  </si>
  <si>
    <t>Clientes Base</t>
  </si>
  <si>
    <t>Consumo Mensual</t>
  </si>
  <si>
    <r>
      <t>Revenue Incremental</t>
    </r>
    <r>
      <rPr>
        <b/>
        <sz val="10"/>
        <rFont val="Calibri"/>
        <family val="2"/>
      </rPr>
      <t xml:space="preserve"> (ARS MM)</t>
    </r>
  </si>
  <si>
    <r>
      <rPr>
        <b/>
        <sz val="12"/>
        <rFont val="Calibri"/>
        <family val="2"/>
      </rPr>
      <t>Budget Marketing</t>
    </r>
    <r>
      <rPr>
        <b/>
        <sz val="10"/>
        <rFont val="Calibri"/>
        <family val="2"/>
      </rPr>
      <t xml:space="preserve"> (ARS MM)</t>
    </r>
  </si>
  <si>
    <t>$/Cliente</t>
  </si>
  <si>
    <t>Budget Marketing %</t>
  </si>
  <si>
    <t>Nuevos (CAC)</t>
  </si>
  <si>
    <r>
      <t>Revenue</t>
    </r>
    <r>
      <rPr>
        <b/>
        <sz val="10"/>
        <rFont val="Calibri"/>
        <family val="2"/>
      </rPr>
      <t xml:space="preserve"> Apert/Cierre</t>
    </r>
  </si>
  <si>
    <t>Ventas/PDV Mes
(ARS MM)</t>
  </si>
  <si>
    <t>PDV Iniciales</t>
  </si>
  <si>
    <t>PDV Finales</t>
  </si>
  <si>
    <t>Simulador 5 - Red de PDV, Aperturas/Cierres y CAPEX</t>
  </si>
  <si>
    <t>Revenue Teórico</t>
  </si>
  <si>
    <t>MG%</t>
  </si>
  <si>
    <t>Merma</t>
  </si>
  <si>
    <t>Markteting</t>
  </si>
  <si>
    <t>Competitividad %</t>
  </si>
  <si>
    <t>Comp %</t>
  </si>
  <si>
    <t>Competitividad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</si>
</sst>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%"/>
    <numFmt numFmtId="166" formatCode="0.0"/>
  </numFmts>
  <fonts count="21">
    <font>
      <sz val="11"/>
      <name val="Carlito"/>
    </font>
    <font>
      <b/>
      <sz val="10"/>
      <color rgb="FFFFFFFF"/>
      <name val="Calibri"/>
      <family val="2"/>
    </font>
    <font>
      <sz val="10"/>
      <name val="Calibri"/>
      <family val="2"/>
    </font>
    <font>
      <b/>
      <sz val="14"/>
      <color rgb="FFFFFFFF"/>
      <name val="Calibri"/>
      <family val="2"/>
    </font>
    <font>
      <sz val="11"/>
      <name val="Carlito"/>
    </font>
    <font>
      <sz val="10"/>
      <color rgb="FF0000FF"/>
      <name val="Calibri"/>
      <family val="2"/>
    </font>
    <font>
      <b/>
      <sz val="10"/>
      <name val="Calibri"/>
      <family val="2"/>
    </font>
    <font>
      <b/>
      <sz val="18"/>
      <name val="Carlito"/>
    </font>
    <font>
      <b/>
      <sz val="11"/>
      <name val="Carlito"/>
    </font>
    <font>
      <b/>
      <sz val="16"/>
      <name val="Carlito"/>
    </font>
    <font>
      <sz val="8"/>
      <name val="Calibri"/>
      <family val="2"/>
    </font>
    <font>
      <b/>
      <sz val="11"/>
      <name val="Calibri"/>
      <family val="2"/>
    </font>
    <font>
      <b/>
      <sz val="12"/>
      <name val="Calibri"/>
      <family val="2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rgb="FFFFFFFF"/>
      <name val="Calibri"/>
      <family val="2"/>
    </font>
    <font>
      <sz val="9"/>
      <name val="Carlito"/>
    </font>
    <font>
      <sz val="8"/>
      <name val="Carlito"/>
    </font>
    <font>
      <b/>
      <sz val="10"/>
      <name val="Carlito"/>
    </font>
    <font>
      <sz val="10"/>
      <name val="Calibri"/>
      <family val="2"/>
      <scheme val="minor"/>
    </font>
    <font>
      <b/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FF2CC"/>
      </patternFill>
    </fill>
  </fills>
  <borders count="11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 style="thin">
        <color rgb="FFD9D9D9"/>
      </left>
      <right style="thin">
        <color rgb="FFD9D9D9"/>
      </right>
      <top style="medium">
        <color theme="1"/>
      </top>
      <bottom style="medium">
        <color theme="1"/>
      </bottom>
      <diagonal/>
    </border>
    <border>
      <left style="thin">
        <color rgb="FFD9D9D9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23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wrapText="1"/>
    </xf>
    <xf numFmtId="164" fontId="2" fillId="3" borderId="1" xfId="0" applyNumberFormat="1" applyFont="1" applyFill="1" applyBorder="1" applyAlignment="1">
      <alignment wrapText="1"/>
    </xf>
    <xf numFmtId="165" fontId="2" fillId="3" borderId="1" xfId="0" applyNumberFormat="1" applyFont="1" applyFill="1" applyBorder="1" applyAlignment="1">
      <alignment wrapText="1"/>
    </xf>
    <xf numFmtId="165" fontId="2" fillId="0" borderId="1" xfId="0" applyNumberFormat="1" applyFont="1" applyBorder="1" applyAlignment="1">
      <alignment wrapText="1"/>
    </xf>
    <xf numFmtId="3" fontId="2" fillId="3" borderId="1" xfId="0" applyNumberFormat="1" applyFont="1" applyFill="1" applyBorder="1" applyAlignment="1">
      <alignment wrapText="1"/>
    </xf>
    <xf numFmtId="0" fontId="3" fillId="0" borderId="0" xfId="0" applyFont="1"/>
    <xf numFmtId="164" fontId="2" fillId="0" borderId="1" xfId="0" applyNumberFormat="1" applyFont="1" applyBorder="1" applyAlignment="1">
      <alignment wrapText="1"/>
    </xf>
    <xf numFmtId="1" fontId="2" fillId="0" borderId="1" xfId="0" applyNumberFormat="1" applyFont="1" applyBorder="1" applyAlignment="1">
      <alignment wrapText="1"/>
    </xf>
    <xf numFmtId="3" fontId="2" fillId="0" borderId="1" xfId="0" applyNumberFormat="1" applyFont="1" applyBorder="1" applyAlignment="1">
      <alignment wrapText="1"/>
    </xf>
    <xf numFmtId="1" fontId="2" fillId="3" borderId="1" xfId="0" applyNumberFormat="1" applyFont="1" applyFill="1" applyBorder="1" applyAlignment="1">
      <alignment wrapText="1"/>
    </xf>
    <xf numFmtId="0" fontId="2" fillId="0" borderId="1" xfId="0" applyFont="1" applyBorder="1" applyAlignment="1">
      <alignment horizontal="center" wrapText="1"/>
    </xf>
    <xf numFmtId="9" fontId="2" fillId="0" borderId="0" xfId="1" applyFont="1"/>
    <xf numFmtId="165" fontId="2" fillId="0" borderId="0" xfId="1" applyNumberFormat="1" applyFont="1"/>
    <xf numFmtId="165" fontId="2" fillId="0" borderId="0" xfId="1" applyNumberFormat="1" applyFont="1" applyAlignment="1">
      <alignment horizontal="center"/>
    </xf>
    <xf numFmtId="0" fontId="2" fillId="0" borderId="1" xfId="0" applyFont="1" applyBorder="1" applyAlignment="1">
      <alignment horizontal="right" wrapText="1"/>
    </xf>
    <xf numFmtId="164" fontId="2" fillId="0" borderId="0" xfId="0" applyNumberFormat="1" applyFont="1"/>
    <xf numFmtId="0" fontId="2" fillId="0" borderId="1" xfId="0" applyFont="1" applyBorder="1"/>
    <xf numFmtId="3" fontId="5" fillId="0" borderId="1" xfId="0" applyNumberFormat="1" applyFont="1" applyBorder="1" applyAlignment="1">
      <alignment wrapText="1"/>
    </xf>
    <xf numFmtId="2" fontId="5" fillId="0" borderId="1" xfId="0" applyNumberFormat="1" applyFont="1" applyBorder="1" applyAlignment="1">
      <alignment wrapText="1"/>
    </xf>
    <xf numFmtId="165" fontId="5" fillId="0" borderId="1" xfId="0" applyNumberFormat="1" applyFont="1" applyBorder="1" applyAlignment="1">
      <alignment wrapText="1"/>
    </xf>
    <xf numFmtId="1" fontId="5" fillId="0" borderId="1" xfId="0" applyNumberFormat="1" applyFont="1" applyBorder="1" applyAlignment="1">
      <alignment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9" fontId="2" fillId="0" borderId="1" xfId="1" applyFont="1" applyBorder="1" applyAlignment="1">
      <alignment wrapText="1"/>
    </xf>
    <xf numFmtId="165" fontId="6" fillId="0" borderId="1" xfId="0" applyNumberFormat="1" applyFont="1" applyBorder="1" applyAlignment="1">
      <alignment wrapText="1"/>
    </xf>
    <xf numFmtId="164" fontId="6" fillId="0" borderId="1" xfId="0" applyNumberFormat="1" applyFont="1" applyBorder="1" applyAlignment="1">
      <alignment wrapText="1"/>
    </xf>
    <xf numFmtId="0" fontId="3" fillId="2" borderId="0" xfId="0" applyFont="1" applyFill="1"/>
    <xf numFmtId="0" fontId="0" fillId="0" borderId="0" xfId="0" applyAlignment="1">
      <alignment vertical="center"/>
    </xf>
    <xf numFmtId="0" fontId="7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9" fillId="0" borderId="0" xfId="0" applyFont="1" applyAlignment="1">
      <alignment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3" fontId="5" fillId="3" borderId="1" xfId="0" applyNumberFormat="1" applyFont="1" applyFill="1" applyBorder="1" applyAlignment="1">
      <alignment wrapText="1"/>
    </xf>
    <xf numFmtId="3" fontId="2" fillId="0" borderId="0" xfId="0" applyNumberFormat="1" applyFont="1"/>
    <xf numFmtId="3" fontId="0" fillId="0" borderId="0" xfId="0" applyNumberFormat="1"/>
    <xf numFmtId="3" fontId="2" fillId="0" borderId="0" xfId="0" applyNumberFormat="1" applyFont="1" applyAlignment="1">
      <alignment wrapText="1"/>
    </xf>
    <xf numFmtId="165" fontId="2" fillId="0" borderId="0" xfId="1" applyNumberFormat="1" applyFont="1" applyBorder="1" applyAlignment="1">
      <alignment wrapText="1"/>
    </xf>
    <xf numFmtId="3" fontId="6" fillId="0" borderId="1" xfId="0" applyNumberFormat="1" applyFont="1" applyBorder="1" applyAlignment="1">
      <alignment wrapText="1"/>
    </xf>
    <xf numFmtId="0" fontId="6" fillId="0" borderId="1" xfId="0" applyFont="1" applyBorder="1" applyAlignment="1">
      <alignment wrapText="1"/>
    </xf>
    <xf numFmtId="165" fontId="6" fillId="0" borderId="0" xfId="1" applyNumberFormat="1" applyFont="1" applyBorder="1" applyAlignment="1">
      <alignment wrapText="1"/>
    </xf>
    <xf numFmtId="0" fontId="6" fillId="0" borderId="0" xfId="0" applyFont="1"/>
    <xf numFmtId="165" fontId="6" fillId="0" borderId="0" xfId="1" applyNumberFormat="1" applyFont="1"/>
    <xf numFmtId="0" fontId="8" fillId="0" borderId="0" xfId="0" applyFont="1"/>
    <xf numFmtId="166" fontId="5" fillId="0" borderId="0" xfId="0" applyNumberFormat="1" applyFont="1" applyAlignment="1">
      <alignment horizontal="center"/>
    </xf>
    <xf numFmtId="0" fontId="10" fillId="0" borderId="1" xfId="0" applyFont="1" applyBorder="1" applyAlignment="1">
      <alignment horizontal="right" wrapText="1"/>
    </xf>
    <xf numFmtId="0" fontId="2" fillId="0" borderId="0" xfId="0" applyFont="1" applyAlignment="1">
      <alignment vertical="center"/>
    </xf>
    <xf numFmtId="3" fontId="2" fillId="0" borderId="1" xfId="0" applyNumberFormat="1" applyFont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0" fillId="0" borderId="0" xfId="0" applyNumberFormat="1"/>
    <xf numFmtId="3" fontId="5" fillId="0" borderId="1" xfId="0" applyNumberFormat="1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 wrapText="1"/>
    </xf>
    <xf numFmtId="164" fontId="8" fillId="0" borderId="0" xfId="0" applyNumberFormat="1" applyFont="1"/>
    <xf numFmtId="165" fontId="0" fillId="0" borderId="0" xfId="0" applyNumberFormat="1"/>
    <xf numFmtId="9" fontId="0" fillId="0" borderId="0" xfId="1" applyFont="1"/>
    <xf numFmtId="165" fontId="0" fillId="0" borderId="0" xfId="1" applyNumberFormat="1" applyFont="1"/>
    <xf numFmtId="0" fontId="2" fillId="0" borderId="0" xfId="0" applyFont="1" applyAlignment="1">
      <alignment wrapText="1"/>
    </xf>
    <xf numFmtId="165" fontId="2" fillId="0" borderId="0" xfId="0" applyNumberFormat="1" applyFont="1" applyAlignment="1">
      <alignment wrapText="1"/>
    </xf>
    <xf numFmtId="165" fontId="6" fillId="0" borderId="0" xfId="0" applyNumberFormat="1" applyFont="1" applyAlignment="1">
      <alignment wrapText="1"/>
    </xf>
    <xf numFmtId="164" fontId="2" fillId="0" borderId="0" xfId="0" applyNumberFormat="1" applyFont="1" applyAlignment="1">
      <alignment wrapText="1"/>
    </xf>
    <xf numFmtId="1" fontId="2" fillId="0" borderId="0" xfId="0" applyNumberFormat="1" applyFont="1" applyAlignment="1">
      <alignment wrapText="1"/>
    </xf>
    <xf numFmtId="165" fontId="5" fillId="0" borderId="0" xfId="1" applyNumberFormat="1" applyFont="1" applyAlignment="1">
      <alignment horizontal="center"/>
    </xf>
    <xf numFmtId="0" fontId="1" fillId="2" borderId="0" xfId="0" applyFont="1" applyFill="1" applyAlignment="1">
      <alignment horizontal="center" wrapText="1"/>
    </xf>
    <xf numFmtId="0" fontId="12" fillId="0" borderId="0" xfId="0" applyFont="1"/>
    <xf numFmtId="165" fontId="2" fillId="3" borderId="1" xfId="1" applyNumberFormat="1" applyFont="1" applyFill="1" applyBorder="1" applyAlignment="1">
      <alignment wrapText="1"/>
    </xf>
    <xf numFmtId="165" fontId="2" fillId="0" borderId="1" xfId="1" applyNumberFormat="1" applyFont="1" applyFill="1" applyBorder="1" applyAlignment="1">
      <alignment wrapText="1"/>
    </xf>
    <xf numFmtId="165" fontId="6" fillId="0" borderId="1" xfId="1" applyNumberFormat="1" applyFont="1" applyFill="1" applyBorder="1" applyAlignment="1">
      <alignment wrapText="1"/>
    </xf>
    <xf numFmtId="3" fontId="8" fillId="0" borderId="0" xfId="0" applyNumberFormat="1" applyFont="1"/>
    <xf numFmtId="3" fontId="6" fillId="0" borderId="0" xfId="0" applyNumberFormat="1" applyFont="1"/>
    <xf numFmtId="1" fontId="6" fillId="0" borderId="0" xfId="0" applyNumberFormat="1" applyFont="1"/>
    <xf numFmtId="0" fontId="13" fillId="0" borderId="1" xfId="0" applyFont="1" applyBorder="1" applyAlignment="1">
      <alignment wrapText="1"/>
    </xf>
    <xf numFmtId="3" fontId="13" fillId="0" borderId="1" xfId="0" applyNumberFormat="1" applyFont="1" applyBorder="1" applyAlignment="1">
      <alignment wrapText="1"/>
    </xf>
    <xf numFmtId="164" fontId="13" fillId="0" borderId="1" xfId="0" applyNumberFormat="1" applyFont="1" applyBorder="1" applyAlignment="1">
      <alignment wrapText="1"/>
    </xf>
    <xf numFmtId="165" fontId="13" fillId="0" borderId="1" xfId="0" applyNumberFormat="1" applyFont="1" applyBorder="1" applyAlignment="1">
      <alignment wrapText="1"/>
    </xf>
    <xf numFmtId="0" fontId="13" fillId="0" borderId="0" xfId="0" applyFont="1"/>
    <xf numFmtId="165" fontId="14" fillId="0" borderId="0" xfId="1" applyNumberFormat="1" applyFont="1" applyAlignment="1">
      <alignment horizontal="center" vertical="center"/>
    </xf>
    <xf numFmtId="0" fontId="14" fillId="0" borderId="0" xfId="0" applyFont="1"/>
    <xf numFmtId="165" fontId="2" fillId="0" borderId="0" xfId="0" applyNumberFormat="1" applyFont="1"/>
    <xf numFmtId="165" fontId="6" fillId="0" borderId="1" xfId="1" applyNumberFormat="1" applyFont="1" applyBorder="1" applyAlignment="1">
      <alignment wrapText="1"/>
    </xf>
    <xf numFmtId="0" fontId="2" fillId="0" borderId="0" xfId="0" applyFont="1" applyAlignment="1">
      <alignment vertical="center" wrapText="1"/>
    </xf>
    <xf numFmtId="165" fontId="2" fillId="0" borderId="0" xfId="0" applyNumberFormat="1" applyFont="1" applyAlignment="1">
      <alignment vertical="center" wrapText="1"/>
    </xf>
    <xf numFmtId="164" fontId="2" fillId="0" borderId="0" xfId="0" applyNumberFormat="1" applyFont="1" applyAlignment="1">
      <alignment vertical="center" wrapText="1"/>
    </xf>
    <xf numFmtId="1" fontId="2" fillId="0" borderId="0" xfId="0" applyNumberFormat="1" applyFont="1" applyAlignment="1">
      <alignment vertical="center" wrapText="1"/>
    </xf>
    <xf numFmtId="3" fontId="3" fillId="0" borderId="0" xfId="0" applyNumberFormat="1" applyFont="1"/>
    <xf numFmtId="9" fontId="3" fillId="0" borderId="0" xfId="1" applyFont="1"/>
    <xf numFmtId="4" fontId="2" fillId="0" borderId="1" xfId="0" applyNumberFormat="1" applyFont="1" applyBorder="1" applyAlignment="1">
      <alignment wrapText="1"/>
    </xf>
    <xf numFmtId="9" fontId="6" fillId="0" borderId="1" xfId="1" applyFont="1" applyBorder="1" applyAlignment="1">
      <alignment wrapText="1"/>
    </xf>
    <xf numFmtId="3" fontId="2" fillId="0" borderId="0" xfId="1" applyNumberFormat="1" applyFont="1"/>
    <xf numFmtId="0" fontId="15" fillId="2" borderId="1" xfId="0" applyFont="1" applyFill="1" applyBorder="1" applyAlignment="1">
      <alignment horizontal="center" vertical="center" wrapText="1"/>
    </xf>
    <xf numFmtId="9" fontId="16" fillId="0" borderId="0" xfId="1" applyFont="1"/>
    <xf numFmtId="9" fontId="17" fillId="0" borderId="0" xfId="1" applyFont="1"/>
    <xf numFmtId="3" fontId="5" fillId="0" borderId="0" xfId="0" applyNumberFormat="1" applyFont="1"/>
    <xf numFmtId="0" fontId="6" fillId="0" borderId="0" xfId="0" applyFont="1" applyAlignment="1">
      <alignment horizontal="right"/>
    </xf>
    <xf numFmtId="0" fontId="11" fillId="0" borderId="0" xfId="0" applyFont="1" applyAlignment="1">
      <alignment vertical="top" wrapText="1"/>
    </xf>
    <xf numFmtId="3" fontId="18" fillId="0" borderId="0" xfId="0" applyNumberFormat="1" applyFont="1" applyAlignment="1">
      <alignment horizontal="center"/>
    </xf>
    <xf numFmtId="0" fontId="3" fillId="2" borderId="0" xfId="0" applyFont="1" applyFill="1" applyAlignment="1">
      <alignment horizontal="centerContinuous"/>
    </xf>
    <xf numFmtId="0" fontId="3" fillId="2" borderId="0" xfId="0" applyFont="1" applyFill="1" applyAlignment="1">
      <alignment horizontal="left"/>
    </xf>
    <xf numFmtId="164" fontId="6" fillId="0" borderId="0" xfId="0" applyNumberFormat="1" applyFont="1"/>
    <xf numFmtId="0" fontId="2" fillId="0" borderId="2" xfId="0" applyFont="1" applyBorder="1" applyAlignment="1">
      <alignment wrapText="1"/>
    </xf>
    <xf numFmtId="0" fontId="6" fillId="0" borderId="3" xfId="0" applyFont="1" applyBorder="1"/>
    <xf numFmtId="3" fontId="6" fillId="0" borderId="4" xfId="0" applyNumberFormat="1" applyFont="1" applyBorder="1" applyAlignment="1">
      <alignment wrapText="1"/>
    </xf>
    <xf numFmtId="3" fontId="6" fillId="0" borderId="5" xfId="0" applyNumberFormat="1" applyFont="1" applyBorder="1" applyAlignment="1">
      <alignment wrapText="1"/>
    </xf>
    <xf numFmtId="0" fontId="1" fillId="2" borderId="2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3" fontId="1" fillId="2" borderId="7" xfId="0" applyNumberFormat="1" applyFont="1" applyFill="1" applyBorder="1" applyAlignment="1">
      <alignment horizontal="center" wrapText="1"/>
    </xf>
    <xf numFmtId="3" fontId="6" fillId="0" borderId="0" xfId="0" applyNumberFormat="1" applyFont="1" applyAlignment="1">
      <alignment wrapText="1"/>
    </xf>
    <xf numFmtId="0" fontId="6" fillId="0" borderId="0" xfId="0" applyFont="1" applyAlignment="1">
      <alignment wrapText="1"/>
    </xf>
    <xf numFmtId="164" fontId="6" fillId="0" borderId="0" xfId="0" applyNumberFormat="1" applyFont="1" applyAlignment="1">
      <alignment wrapText="1"/>
    </xf>
    <xf numFmtId="0" fontId="2" fillId="0" borderId="0" xfId="0" applyFont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wrapText="1"/>
    </xf>
    <xf numFmtId="0" fontId="3" fillId="2" borderId="0" xfId="0" applyFont="1" applyFill="1"/>
    <xf numFmtId="0" fontId="19" fillId="0" borderId="0" xfId="0" applyFont="1"/>
    <xf numFmtId="166" fontId="19" fillId="0" borderId="0" xfId="0" applyNumberFormat="1" applyFont="1" applyAlignment="1">
      <alignment horizontal="center" vertical="center"/>
    </xf>
    <xf numFmtId="166" fontId="13" fillId="0" borderId="9" xfId="0" applyNumberFormat="1" applyFont="1" applyFill="1" applyBorder="1" applyAlignment="1">
      <alignment horizontal="center" vertical="center"/>
    </xf>
    <xf numFmtId="166" fontId="13" fillId="0" borderId="10" xfId="0" applyNumberFormat="1" applyFont="1" applyFill="1" applyBorder="1" applyAlignment="1">
      <alignment horizontal="center" vertical="center"/>
    </xf>
    <xf numFmtId="0" fontId="20" fillId="0" borderId="8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4">
    <dxf>
      <font>
        <b/>
        <color rgb="FF38761D"/>
      </font>
      <fill>
        <patternFill patternType="solid">
          <bgColor rgb="FFD9EAD3"/>
        </patternFill>
      </fill>
    </dxf>
    <dxf>
      <font>
        <b/>
        <color rgb="FF990000"/>
      </font>
      <fill>
        <patternFill patternType="solid">
          <bgColor rgb="FFF4CCCC"/>
        </patternFill>
      </fill>
    </dxf>
    <dxf>
      <font>
        <b/>
        <color rgb="FF990000"/>
      </font>
      <fill>
        <patternFill patternType="solid">
          <bgColor rgb="FFF4CCCC"/>
        </patternFill>
      </fill>
    </dxf>
    <dxf>
      <font>
        <b/>
        <color rgb="FF990000"/>
      </font>
      <fill>
        <patternFill patternType="solid">
          <bgColor rgb="FFF4CCCC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116216</xdr:colOff>
      <xdr:row>21</xdr:row>
      <xdr:rowOff>136072</xdr:rowOff>
    </xdr:from>
    <xdr:to>
      <xdr:col>20</xdr:col>
      <xdr:colOff>686553</xdr:colOff>
      <xdr:row>27</xdr:row>
      <xdr:rowOff>35148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2E573C-822F-9C97-3063-A49805F661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85752" y="4272643"/>
          <a:ext cx="2652230" cy="987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E8ECF-6ACA-4018-896A-0E737CED5C1A}">
  <sheetPr>
    <tabColor theme="1"/>
  </sheetPr>
  <dimension ref="B3:O60"/>
  <sheetViews>
    <sheetView workbookViewId="0">
      <selection activeCell="A25" sqref="A25"/>
    </sheetView>
  </sheetViews>
  <sheetFormatPr defaultRowHeight="14.15"/>
  <sheetData>
    <row r="3" spans="2:8" ht="22.75">
      <c r="B3" s="31" t="s">
        <v>166</v>
      </c>
      <c r="H3" s="31" t="s">
        <v>175</v>
      </c>
    </row>
    <row r="4" spans="2:8">
      <c r="H4" s="32"/>
    </row>
    <row r="5" spans="2:8">
      <c r="B5" t="s">
        <v>167</v>
      </c>
      <c r="H5" s="32" t="s">
        <v>176</v>
      </c>
    </row>
    <row r="6" spans="2:8">
      <c r="B6" s="32"/>
      <c r="H6" s="32" t="s">
        <v>132</v>
      </c>
    </row>
    <row r="7" spans="2:8">
      <c r="B7" s="32" t="s">
        <v>168</v>
      </c>
      <c r="H7" s="32" t="s">
        <v>30</v>
      </c>
    </row>
    <row r="8" spans="2:8">
      <c r="B8" s="32" t="s">
        <v>169</v>
      </c>
      <c r="H8" s="32" t="s">
        <v>153</v>
      </c>
    </row>
    <row r="9" spans="2:8">
      <c r="B9" s="32" t="s">
        <v>170</v>
      </c>
    </row>
    <row r="10" spans="2:8">
      <c r="B10" s="32" t="s">
        <v>171</v>
      </c>
      <c r="H10" t="s">
        <v>177</v>
      </c>
    </row>
    <row r="11" spans="2:8">
      <c r="B11" s="32" t="s">
        <v>172</v>
      </c>
    </row>
    <row r="12" spans="2:8">
      <c r="B12" s="32" t="s">
        <v>173</v>
      </c>
    </row>
    <row r="14" spans="2:8">
      <c r="B14" t="s">
        <v>174</v>
      </c>
    </row>
    <row r="17" spans="2:2" ht="22.75">
      <c r="B17" s="31" t="s">
        <v>178</v>
      </c>
    </row>
    <row r="19" spans="2:2">
      <c r="B19" t="s">
        <v>179</v>
      </c>
    </row>
    <row r="20" spans="2:2">
      <c r="B20" s="32"/>
    </row>
    <row r="21" spans="2:2">
      <c r="B21" s="32" t="s">
        <v>180</v>
      </c>
    </row>
    <row r="22" spans="2:2">
      <c r="B22" s="32" t="s">
        <v>181</v>
      </c>
    </row>
    <row r="23" spans="2:2">
      <c r="B23" s="32" t="s">
        <v>182</v>
      </c>
    </row>
    <row r="24" spans="2:2">
      <c r="B24" s="32" t="s">
        <v>183</v>
      </c>
    </row>
    <row r="25" spans="2:2">
      <c r="B25" s="32" t="s">
        <v>184</v>
      </c>
    </row>
    <row r="27" spans="2:2">
      <c r="B27" t="s">
        <v>185</v>
      </c>
    </row>
    <row r="29" spans="2:2">
      <c r="B29" t="s">
        <v>186</v>
      </c>
    </row>
    <row r="33" spans="2:15" ht="22.75">
      <c r="B33" s="31" t="s">
        <v>187</v>
      </c>
    </row>
    <row r="37" spans="2:15" ht="22.75">
      <c r="B37" s="31" t="s">
        <v>188</v>
      </c>
      <c r="E37" s="31" t="s">
        <v>193</v>
      </c>
      <c r="I37" s="31" t="s">
        <v>199</v>
      </c>
      <c r="L37" s="31" t="s">
        <v>204</v>
      </c>
      <c r="O37" s="31" t="s">
        <v>209</v>
      </c>
    </row>
    <row r="38" spans="2:15">
      <c r="B38" s="32"/>
      <c r="E38" s="32"/>
      <c r="I38" s="32"/>
      <c r="L38" s="32"/>
      <c r="O38" s="32"/>
    </row>
    <row r="39" spans="2:15">
      <c r="B39" s="32" t="s">
        <v>189</v>
      </c>
      <c r="E39" s="32" t="s">
        <v>194</v>
      </c>
      <c r="I39" s="32" t="s">
        <v>200</v>
      </c>
      <c r="L39" s="32" t="s">
        <v>205</v>
      </c>
      <c r="O39" s="32" t="s">
        <v>210</v>
      </c>
    </row>
    <row r="40" spans="2:15">
      <c r="B40" s="32"/>
      <c r="E40" s="32" t="s">
        <v>195</v>
      </c>
      <c r="I40" s="32" t="s">
        <v>201</v>
      </c>
      <c r="L40" s="32" t="s">
        <v>206</v>
      </c>
    </row>
    <row r="41" spans="2:15">
      <c r="O41" t="s">
        <v>190</v>
      </c>
    </row>
    <row r="42" spans="2:15">
      <c r="B42" t="s">
        <v>190</v>
      </c>
      <c r="E42" t="s">
        <v>190</v>
      </c>
      <c r="I42" t="s">
        <v>190</v>
      </c>
      <c r="L42" t="s">
        <v>190</v>
      </c>
      <c r="O42" s="32"/>
    </row>
    <row r="43" spans="2:15">
      <c r="B43" s="32"/>
      <c r="E43" s="32"/>
      <c r="I43" s="32"/>
      <c r="L43" s="32"/>
      <c r="O43" s="32" t="s">
        <v>211</v>
      </c>
    </row>
    <row r="44" spans="2:15">
      <c r="B44" s="32" t="s">
        <v>191</v>
      </c>
      <c r="E44" s="32" t="s">
        <v>196</v>
      </c>
      <c r="I44" s="32" t="s">
        <v>202</v>
      </c>
      <c r="L44" s="32" t="s">
        <v>207</v>
      </c>
      <c r="O44" s="32" t="s">
        <v>212</v>
      </c>
    </row>
    <row r="45" spans="2:15">
      <c r="B45" s="32" t="s">
        <v>192</v>
      </c>
      <c r="E45" s="32" t="s">
        <v>197</v>
      </c>
      <c r="I45" s="32" t="s">
        <v>203</v>
      </c>
      <c r="L45" s="32" t="s">
        <v>208</v>
      </c>
      <c r="O45" s="32" t="s">
        <v>213</v>
      </c>
    </row>
    <row r="46" spans="2:15">
      <c r="E46" s="32" t="s">
        <v>198</v>
      </c>
    </row>
    <row r="50" spans="2:10" ht="22.75">
      <c r="B50" s="31" t="s">
        <v>214</v>
      </c>
    </row>
    <row r="54" spans="2:10" ht="20.149999999999999">
      <c r="B54" s="33" t="s">
        <v>215</v>
      </c>
      <c r="D54" s="33" t="s">
        <v>219</v>
      </c>
      <c r="H54" s="33" t="s">
        <v>222</v>
      </c>
      <c r="J54" s="33" t="s">
        <v>225</v>
      </c>
    </row>
    <row r="55" spans="2:10">
      <c r="B55" s="32"/>
      <c r="D55" s="32"/>
      <c r="H55" s="32"/>
    </row>
    <row r="56" spans="2:10">
      <c r="B56" s="32" t="s">
        <v>216</v>
      </c>
      <c r="D56" s="32" t="s">
        <v>132</v>
      </c>
      <c r="H56" s="32" t="s">
        <v>223</v>
      </c>
      <c r="J56" t="s">
        <v>226</v>
      </c>
    </row>
    <row r="57" spans="2:10">
      <c r="B57" s="32" t="s">
        <v>217</v>
      </c>
      <c r="D57" s="32" t="s">
        <v>220</v>
      </c>
      <c r="H57" s="32" t="s">
        <v>224</v>
      </c>
      <c r="J57" s="32"/>
    </row>
    <row r="58" spans="2:10">
      <c r="B58" s="32" t="s">
        <v>132</v>
      </c>
      <c r="D58" s="32" t="s">
        <v>27</v>
      </c>
      <c r="J58" s="32" t="s">
        <v>227</v>
      </c>
    </row>
    <row r="59" spans="2:10">
      <c r="J59" s="32" t="s">
        <v>228</v>
      </c>
    </row>
    <row r="60" spans="2:10">
      <c r="B60" t="s">
        <v>218</v>
      </c>
      <c r="D60" t="s">
        <v>221</v>
      </c>
      <c r="J60" s="32" t="s">
        <v>229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0.34998626667073579"/>
  </sheetPr>
  <dimension ref="B2:O62"/>
  <sheetViews>
    <sheetView showGridLines="0" workbookViewId="0">
      <selection activeCell="D18" sqref="D18"/>
    </sheetView>
  </sheetViews>
  <sheetFormatPr defaultRowHeight="14.15"/>
  <cols>
    <col min="1" max="1" width="2.5703125" customWidth="1"/>
    <col min="2" max="2" width="28.5" customWidth="1"/>
    <col min="3" max="3" width="32.78515625" customWidth="1"/>
    <col min="5" max="5" width="14.28515625" customWidth="1"/>
    <col min="6" max="6" width="39.140625" customWidth="1"/>
  </cols>
  <sheetData>
    <row r="2" spans="2:15" ht="18.45">
      <c r="B2" s="29" t="s">
        <v>0</v>
      </c>
      <c r="C2" s="29"/>
      <c r="D2" s="29"/>
      <c r="E2" s="29"/>
      <c r="F2" s="29"/>
      <c r="G2" s="29"/>
      <c r="H2" s="8"/>
      <c r="I2" s="8"/>
      <c r="J2" s="8"/>
      <c r="K2" s="8"/>
      <c r="L2" s="8"/>
      <c r="M2" s="8"/>
      <c r="N2" s="8"/>
      <c r="O2" s="8"/>
    </row>
    <row r="3" spans="2:1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2:15">
      <c r="B4" s="2" t="s">
        <v>1</v>
      </c>
      <c r="C4" s="2" t="s">
        <v>2</v>
      </c>
      <c r="D4" s="1"/>
      <c r="E4" s="115" t="s">
        <v>3</v>
      </c>
      <c r="F4" s="115"/>
      <c r="G4" s="115"/>
      <c r="H4" s="1"/>
      <c r="I4" s="1"/>
      <c r="J4" s="1"/>
      <c r="K4" s="1"/>
      <c r="L4" s="1"/>
      <c r="M4" s="1"/>
      <c r="N4" s="1"/>
      <c r="O4" s="1"/>
    </row>
    <row r="5" spans="2:15" ht="20.05" customHeight="1">
      <c r="B5" s="3" t="s">
        <v>4</v>
      </c>
      <c r="C5" s="17" t="s">
        <v>5</v>
      </c>
      <c r="D5" s="1"/>
      <c r="E5" s="3" t="s">
        <v>6</v>
      </c>
      <c r="F5" s="3" t="s">
        <v>7</v>
      </c>
      <c r="G5" s="3"/>
      <c r="H5" s="1"/>
      <c r="I5" s="1"/>
      <c r="J5" s="1"/>
      <c r="K5" s="1"/>
      <c r="L5" s="1"/>
      <c r="M5" s="1"/>
      <c r="N5" s="1"/>
      <c r="O5" s="1"/>
    </row>
    <row r="6" spans="2:15" ht="20.05" customHeight="1">
      <c r="B6" s="3" t="s">
        <v>8</v>
      </c>
      <c r="C6" s="17" t="s">
        <v>9</v>
      </c>
      <c r="D6" s="1"/>
      <c r="E6" s="3" t="s">
        <v>10</v>
      </c>
      <c r="F6" s="3" t="s">
        <v>11</v>
      </c>
      <c r="G6" s="3"/>
      <c r="H6" s="1"/>
      <c r="I6" s="1"/>
      <c r="J6" s="1"/>
      <c r="K6" s="1"/>
      <c r="L6" s="1"/>
      <c r="M6" s="1"/>
      <c r="N6" s="1"/>
      <c r="O6" s="1"/>
    </row>
    <row r="7" spans="2:15" ht="20.05" customHeight="1">
      <c r="B7" s="3" t="s">
        <v>12</v>
      </c>
      <c r="C7" s="49" t="s">
        <v>13</v>
      </c>
      <c r="D7" s="1"/>
      <c r="E7" s="3" t="s">
        <v>14</v>
      </c>
      <c r="F7" s="3" t="s">
        <v>15</v>
      </c>
      <c r="G7" s="3"/>
      <c r="H7" s="1"/>
      <c r="I7" s="1"/>
      <c r="J7" s="1"/>
      <c r="K7" s="1"/>
      <c r="L7" s="1"/>
      <c r="M7" s="1"/>
      <c r="N7" s="1"/>
      <c r="O7" s="1"/>
    </row>
    <row r="8" spans="2:15" ht="20.05" customHeight="1">
      <c r="B8" s="3" t="s">
        <v>16</v>
      </c>
      <c r="C8" s="49" t="s">
        <v>17</v>
      </c>
      <c r="D8" s="1"/>
      <c r="E8" s="3" t="s">
        <v>18</v>
      </c>
      <c r="F8" s="3" t="s">
        <v>19</v>
      </c>
      <c r="G8" s="3"/>
      <c r="H8" s="1"/>
      <c r="I8" s="1"/>
      <c r="J8" s="1"/>
      <c r="K8" s="1"/>
      <c r="L8" s="1"/>
      <c r="M8" s="1"/>
      <c r="N8" s="1"/>
      <c r="O8" s="1"/>
    </row>
    <row r="9" spans="2:15">
      <c r="B9" s="3" t="s">
        <v>235</v>
      </c>
      <c r="C9" s="37">
        <v>120</v>
      </c>
      <c r="D9" s="1"/>
      <c r="E9" s="3"/>
      <c r="F9" s="3"/>
      <c r="G9" s="3"/>
      <c r="H9" s="1"/>
      <c r="I9" s="1"/>
      <c r="J9" s="1"/>
      <c r="K9" s="1"/>
      <c r="L9" s="1"/>
      <c r="M9" s="1"/>
      <c r="N9" s="1"/>
      <c r="O9" s="1"/>
    </row>
    <row r="10" spans="2:15">
      <c r="B10" s="3" t="s">
        <v>20</v>
      </c>
      <c r="C10" s="37">
        <v>29984.5</v>
      </c>
      <c r="D10" s="1"/>
      <c r="E10" s="116" t="s">
        <v>21</v>
      </c>
      <c r="F10" s="116" t="s">
        <v>22</v>
      </c>
      <c r="G10" s="116"/>
      <c r="H10" s="1"/>
      <c r="I10" s="1"/>
      <c r="J10" s="1"/>
      <c r="K10" s="1"/>
      <c r="L10" s="1"/>
      <c r="M10" s="1"/>
      <c r="N10" s="1"/>
      <c r="O10" s="1"/>
    </row>
    <row r="11" spans="2:15">
      <c r="B11" s="3" t="s">
        <v>23</v>
      </c>
      <c r="C11" s="37">
        <v>881.125</v>
      </c>
      <c r="D11" s="16">
        <f>+C11/C10</f>
        <v>2.9386016108322633E-2</v>
      </c>
      <c r="E11" s="3"/>
      <c r="F11" s="3"/>
      <c r="G11" s="3"/>
      <c r="H11" s="1"/>
      <c r="I11" s="1"/>
      <c r="J11" s="1"/>
      <c r="K11" s="1"/>
      <c r="L11" s="1"/>
      <c r="M11" s="1"/>
      <c r="N11" s="1"/>
      <c r="O11" s="1"/>
    </row>
    <row r="12" spans="2:15">
      <c r="B12" s="3" t="s">
        <v>24</v>
      </c>
      <c r="C12" s="37">
        <v>-25000</v>
      </c>
      <c r="D12" s="1"/>
      <c r="E12" s="3" t="s">
        <v>25</v>
      </c>
      <c r="F12" s="3"/>
      <c r="G12" s="3"/>
      <c r="H12" s="1"/>
      <c r="I12" s="1"/>
      <c r="J12" s="1"/>
      <c r="K12" s="1"/>
      <c r="L12" s="1"/>
      <c r="M12" s="1"/>
      <c r="N12" s="1"/>
      <c r="O12" s="1"/>
    </row>
    <row r="13" spans="2:15">
      <c r="B13" s="3" t="s">
        <v>26</v>
      </c>
      <c r="C13" s="37">
        <v>60000</v>
      </c>
      <c r="D13" s="1"/>
      <c r="E13" s="3" t="s">
        <v>27</v>
      </c>
      <c r="F13" s="3" t="s">
        <v>28</v>
      </c>
      <c r="G13" s="3"/>
      <c r="H13" s="1"/>
      <c r="I13" s="1"/>
      <c r="J13" s="1"/>
      <c r="K13" s="1"/>
      <c r="L13" s="1"/>
      <c r="M13" s="1"/>
      <c r="N13" s="1"/>
      <c r="O13" s="1"/>
    </row>
    <row r="14" spans="2:15">
      <c r="B14" s="3" t="s">
        <v>29</v>
      </c>
      <c r="C14" s="4">
        <v>62</v>
      </c>
      <c r="D14" s="1"/>
      <c r="E14" s="3" t="s">
        <v>30</v>
      </c>
      <c r="F14" s="3" t="s">
        <v>31</v>
      </c>
      <c r="G14" s="3"/>
      <c r="H14" s="1"/>
      <c r="I14" s="1"/>
      <c r="J14" s="1"/>
      <c r="K14" s="1"/>
      <c r="L14" s="1"/>
      <c r="M14" s="1"/>
      <c r="N14" s="1"/>
      <c r="O14" s="1"/>
    </row>
    <row r="15" spans="2:15">
      <c r="B15" s="3" t="s">
        <v>32</v>
      </c>
      <c r="C15" s="20">
        <v>50000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2:15" ht="25.75">
      <c r="B16" s="3" t="s">
        <v>33</v>
      </c>
      <c r="C16" s="4">
        <v>3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2:15">
      <c r="B17" s="3" t="s">
        <v>34</v>
      </c>
      <c r="C17" s="5">
        <v>0.04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2:15">
      <c r="B18" s="3" t="s">
        <v>35</v>
      </c>
      <c r="C18" s="5">
        <v>0.02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2:15">
      <c r="B19" s="3" t="s">
        <v>36</v>
      </c>
      <c r="C19" s="7">
        <v>1000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2:15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2:15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2:15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2:15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2:15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2:15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2:1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2:15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2:1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2:1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2:1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2:1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2:1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2:1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2:1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2:1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2:1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2:1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2:1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2:1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2:1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2:1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2:1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2:1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2:1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2:1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2:1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2:1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2:1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2:1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2:1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2:1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2:1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2:1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2:1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2:1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2:1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2:1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2:1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2:1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2:1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2:1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2:1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</sheetData>
  <mergeCells count="2">
    <mergeCell ref="E4:G4"/>
    <mergeCell ref="E10:G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 tint="0.34998626667073579"/>
  </sheetPr>
  <dimension ref="B3:Q59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F23" sqref="F23"/>
    </sheetView>
  </sheetViews>
  <sheetFormatPr defaultRowHeight="14.15"/>
  <cols>
    <col min="1" max="1" width="3.5703125" customWidth="1"/>
    <col min="2" max="2" width="22" customWidth="1"/>
    <col min="3" max="15" width="8.7109375" customWidth="1"/>
    <col min="16" max="16" width="8.7109375" style="47" customWidth="1"/>
  </cols>
  <sheetData>
    <row r="3" spans="2:17" ht="18.45">
      <c r="B3" s="101" t="s">
        <v>37</v>
      </c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</row>
    <row r="4" spans="2:17">
      <c r="B4" s="1"/>
      <c r="C4" s="1"/>
      <c r="D4" s="1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02"/>
    </row>
    <row r="5" spans="2:17">
      <c r="B5" s="2" t="s">
        <v>1</v>
      </c>
      <c r="C5" s="2" t="s">
        <v>38</v>
      </c>
      <c r="D5" s="2" t="s">
        <v>9</v>
      </c>
      <c r="E5" s="2" t="s">
        <v>39</v>
      </c>
      <c r="F5" s="2" t="s">
        <v>40</v>
      </c>
      <c r="G5" s="2" t="s">
        <v>41</v>
      </c>
      <c r="H5" s="2" t="s">
        <v>42</v>
      </c>
      <c r="I5" s="2" t="s">
        <v>43</v>
      </c>
      <c r="J5" s="2" t="s">
        <v>44</v>
      </c>
      <c r="K5" s="2" t="s">
        <v>45</v>
      </c>
      <c r="L5" s="2" t="s">
        <v>46</v>
      </c>
      <c r="M5" s="2" t="s">
        <v>47</v>
      </c>
      <c r="N5" s="2" t="s">
        <v>48</v>
      </c>
      <c r="O5" s="2" t="s">
        <v>49</v>
      </c>
      <c r="P5" s="2" t="s">
        <v>74</v>
      </c>
    </row>
    <row r="6" spans="2:17" s="39" customFormat="1">
      <c r="B6" s="11" t="s">
        <v>50</v>
      </c>
      <c r="C6" s="11">
        <f>'00_General'!C10</f>
        <v>29984.5</v>
      </c>
      <c r="D6" s="11">
        <f>+'03_CatMan_DDI'!D69+'06_Red_CAPEX'!E73+'05_CLV_Marketing'!D50</f>
        <v>29368.463896112862</v>
      </c>
      <c r="E6" s="11">
        <f>+'03_CatMan_DDI'!E69+'06_Red_CAPEX'!F73+'05_CLV_Marketing'!E50</f>
        <v>28959.998636231943</v>
      </c>
      <c r="F6" s="11">
        <f>+'03_CatMan_DDI'!F69+'06_Red_CAPEX'!G73+'05_CLV_Marketing'!F50</f>
        <v>29137.949366825247</v>
      </c>
      <c r="G6" s="11">
        <f>+'03_CatMan_DDI'!G69+'06_Red_CAPEX'!H73+'05_CLV_Marketing'!G50</f>
        <v>28569.856192049312</v>
      </c>
      <c r="H6" s="11">
        <f>+'03_CatMan_DDI'!H69+'06_Red_CAPEX'!I73+'05_CLV_Marketing'!H50</f>
        <v>28037.177226477568</v>
      </c>
      <c r="I6" s="11">
        <f>+'03_CatMan_DDI'!I69+'06_Red_CAPEX'!J73+'05_CLV_Marketing'!I50</f>
        <v>28060.276391811993</v>
      </c>
      <c r="J6" s="11">
        <f>+'03_CatMan_DDI'!J69+'06_Red_CAPEX'!K73+'05_CLV_Marketing'!J50</f>
        <v>28257.162134816426</v>
      </c>
      <c r="K6" s="11">
        <f>+'03_CatMan_DDI'!K69+'06_Red_CAPEX'!L73+'05_CLV_Marketing'!K50</f>
        <v>28340.976995243411</v>
      </c>
      <c r="L6" s="11">
        <f>+'03_CatMan_DDI'!L69+'06_Red_CAPEX'!M73+'05_CLV_Marketing'!L50</f>
        <v>28167.487958113546</v>
      </c>
      <c r="M6" s="11">
        <f>+'03_CatMan_DDI'!M69+'06_Red_CAPEX'!N73+'05_CLV_Marketing'!M50</f>
        <v>29207.577529851711</v>
      </c>
      <c r="N6" s="11">
        <f>+'03_CatMan_DDI'!N69+'06_Red_CAPEX'!O73+'05_CLV_Marketing'!N50</f>
        <v>29084.735482522694</v>
      </c>
      <c r="O6" s="11">
        <f>+'03_CatMan_DDI'!O69+'06_Red_CAPEX'!P73+'05_CLV_Marketing'!O50</f>
        <v>29507.551214772822</v>
      </c>
      <c r="P6" s="42">
        <f>SUM(D6:O6)</f>
        <v>344699.21302482951</v>
      </c>
    </row>
    <row r="7" spans="2:17">
      <c r="B7" s="3" t="s">
        <v>51</v>
      </c>
      <c r="C7" s="6">
        <f>'02_Pricing'!I18</f>
        <v>0.34171105676295871</v>
      </c>
      <c r="D7" s="6">
        <f>'02_Pricing'!I18</f>
        <v>0.34171105676295871</v>
      </c>
      <c r="E7" s="6">
        <f>'02_Pricing'!I18</f>
        <v>0.34171105676295871</v>
      </c>
      <c r="F7" s="6">
        <f>'02_Pricing'!I18</f>
        <v>0.34171105676295871</v>
      </c>
      <c r="G7" s="6">
        <f>'02_Pricing'!I18</f>
        <v>0.34171105676295871</v>
      </c>
      <c r="H7" s="6">
        <f>'02_Pricing'!I18</f>
        <v>0.34171105676295871</v>
      </c>
      <c r="I7" s="6">
        <f>'02_Pricing'!I18</f>
        <v>0.34171105676295871</v>
      </c>
      <c r="J7" s="6">
        <f>'02_Pricing'!I18</f>
        <v>0.34171105676295871</v>
      </c>
      <c r="K7" s="6">
        <f>'02_Pricing'!I18</f>
        <v>0.34171105676295871</v>
      </c>
      <c r="L7" s="6">
        <f>'02_Pricing'!I18</f>
        <v>0.34171105676295871</v>
      </c>
      <c r="M7" s="6">
        <f>'02_Pricing'!I18</f>
        <v>0.34171105676295871</v>
      </c>
      <c r="N7" s="6">
        <f>'02_Pricing'!I18</f>
        <v>0.34171105676295871</v>
      </c>
      <c r="O7" s="6">
        <f>'02_Pricing'!I18</f>
        <v>0.34171105676295871</v>
      </c>
      <c r="P7" s="27">
        <f>+P8/P6</f>
        <v>0.34171105676295871</v>
      </c>
    </row>
    <row r="8" spans="2:17" s="39" customFormat="1">
      <c r="B8" s="11" t="s">
        <v>52</v>
      </c>
      <c r="C8" s="11">
        <f t="shared" ref="C8:O8" si="0">C6*C7</f>
        <v>10246.035181508936</v>
      </c>
      <c r="D8" s="11">
        <f t="shared" si="0"/>
        <v>10035.528833445525</v>
      </c>
      <c r="E8" s="11">
        <f t="shared" si="0"/>
        <v>9895.9517378406599</v>
      </c>
      <c r="F8" s="11">
        <f t="shared" si="0"/>
        <v>9956.7594700434383</v>
      </c>
      <c r="G8" s="11">
        <f t="shared" si="0"/>
        <v>9762.6357509509307</v>
      </c>
      <c r="H8" s="11">
        <f t="shared" si="0"/>
        <v>9580.6134587100096</v>
      </c>
      <c r="I8" s="11">
        <f t="shared" si="0"/>
        <v>9588.5066989067782</v>
      </c>
      <c r="J8" s="11">
        <f t="shared" si="0"/>
        <v>9655.7847342103832</v>
      </c>
      <c r="K8" s="11">
        <f t="shared" si="0"/>
        <v>9684.4251987393272</v>
      </c>
      <c r="L8" s="11">
        <f t="shared" si="0"/>
        <v>9625.1420765248931</v>
      </c>
      <c r="M8" s="11">
        <f t="shared" si="0"/>
        <v>9980.5521832116756</v>
      </c>
      <c r="N8" s="11">
        <f t="shared" si="0"/>
        <v>9938.5756974039523</v>
      </c>
      <c r="O8" s="11">
        <f t="shared" si="0"/>
        <v>10083.056508087147</v>
      </c>
      <c r="P8" s="42">
        <f>SUM(D8:O8)</f>
        <v>117787.53234807472</v>
      </c>
    </row>
    <row r="9" spans="2:17">
      <c r="B9" s="3" t="s">
        <v>53</v>
      </c>
      <c r="C9" s="26">
        <f>SUM('04_Digital_Logistica'!C8:C10)</f>
        <v>0.15643549167069654</v>
      </c>
      <c r="D9" s="26">
        <f>SUM('04_Digital_Logistica'!D8:D10)</f>
        <v>0.16719976652046145</v>
      </c>
      <c r="E9" s="26">
        <f>SUM('04_Digital_Logistica'!E8:E10)</f>
        <v>0.16772444929031075</v>
      </c>
      <c r="F9" s="26">
        <f>SUM('04_Digital_Logistica'!F8:F10)</f>
        <v>0.16749405925057501</v>
      </c>
      <c r="G9" s="26">
        <f>SUM('04_Digital_Logistica'!G8:G10)</f>
        <v>0.16823960445079283</v>
      </c>
      <c r="H9" s="26">
        <f>SUM('04_Digital_Logistica'!H8:H10)</f>
        <v>0.16896611956243127</v>
      </c>
      <c r="I9" s="26">
        <f>SUM('04_Digital_Logistica'!I8:I10)</f>
        <v>0.18755467185887228</v>
      </c>
      <c r="J9" s="26">
        <f>SUM('04_Digital_Logistica'!J8:J10)</f>
        <v>0.18715365160502492</v>
      </c>
      <c r="K9" s="26">
        <f>SUM('04_Digital_Logistica'!K8:K10)</f>
        <v>0.20542082971799969</v>
      </c>
      <c r="L9" s="26">
        <f>SUM('04_Digital_Logistica'!L8:L10)</f>
        <v>0.20588536127817181</v>
      </c>
      <c r="M9" s="26">
        <f>SUM('04_Digital_Logistica'!M8:M10)</f>
        <v>0.22107225675533471</v>
      </c>
      <c r="N9" s="26">
        <f>SUM('04_Digital_Logistica'!N8:N10)</f>
        <v>0.22145690878290505</v>
      </c>
      <c r="O9" s="26">
        <f>SUM('04_Digital_Logistica'!O8:O10)</f>
        <v>0.23785374824349015</v>
      </c>
      <c r="P9" s="91">
        <f>SUM('04_Digital_Logistica'!P8:P10)</f>
        <v>0.26</v>
      </c>
    </row>
    <row r="10" spans="2:17">
      <c r="B10" s="3" t="s">
        <v>54</v>
      </c>
      <c r="C10" s="9">
        <f>+'04_Digital_Logistica'!C20</f>
        <v>1031.481325</v>
      </c>
      <c r="D10" s="9">
        <f>+'04_Digital_Logistica'!D20</f>
        <v>1020.6711142600285</v>
      </c>
      <c r="E10" s="9">
        <f>+'04_Digital_Logistica'!E20</f>
        <v>1007.538956154857</v>
      </c>
      <c r="F10" s="9">
        <f>+'04_Digital_Logistica'!F20</f>
        <v>1013.2600721434317</v>
      </c>
      <c r="G10" s="9">
        <f>+'04_Digital_Logistica'!G20</f>
        <v>994.99587657438542</v>
      </c>
      <c r="H10" s="9">
        <f>+'04_Digital_Logistica'!H20</f>
        <v>977.87024783125378</v>
      </c>
      <c r="I10" s="9">
        <f>+'04_Digital_Logistica'!I20</f>
        <v>1015.1878859967555</v>
      </c>
      <c r="J10" s="9">
        <f>+'04_Digital_Logistica'!J20</f>
        <v>1021.5177626343482</v>
      </c>
      <c r="K10" s="9">
        <f>+'04_Digital_Logistica'!K20</f>
        <v>1060.7874103970757</v>
      </c>
      <c r="L10" s="9">
        <f>+'04_Digital_Logistica'!L20</f>
        <v>1055.2097378533506</v>
      </c>
      <c r="M10" s="9">
        <f>+'04_Digital_Logistica'!M20</f>
        <v>1125.2236175847324</v>
      </c>
      <c r="N10" s="9">
        <f>+'04_Digital_Logistica'!N20</f>
        <v>1121.2742457631048</v>
      </c>
      <c r="O10" s="9">
        <f>+'04_Digital_Logistica'!O20</f>
        <v>1171.4427715549461</v>
      </c>
      <c r="P10" s="42">
        <f>SUM(D10:O10)</f>
        <v>12584.97969874827</v>
      </c>
    </row>
    <row r="11" spans="2:17">
      <c r="B11" s="3" t="s">
        <v>55</v>
      </c>
      <c r="C11" s="11">
        <f>+'03_CatMan_DDI'!C86</f>
        <v>41385.114415781485</v>
      </c>
      <c r="D11" s="11">
        <f>+'03_CatMan_DDI'!D86</f>
        <v>35902.136351525623</v>
      </c>
      <c r="E11" s="11">
        <f>+'03_CatMan_DDI'!E86</f>
        <v>35902.136351525623</v>
      </c>
      <c r="F11" s="11">
        <f>+'03_CatMan_DDI'!F86</f>
        <v>35902.136351525623</v>
      </c>
      <c r="G11" s="11">
        <f>+'03_CatMan_DDI'!G86</f>
        <v>35902.136351525623</v>
      </c>
      <c r="H11" s="11">
        <f>+'03_CatMan_DDI'!H86</f>
        <v>35902.136351525623</v>
      </c>
      <c r="I11" s="11">
        <f>+'03_CatMan_DDI'!I86</f>
        <v>35902.136351525623</v>
      </c>
      <c r="J11" s="11">
        <f>+'03_CatMan_DDI'!J86</f>
        <v>35902.136351525623</v>
      </c>
      <c r="K11" s="11">
        <f>+'03_CatMan_DDI'!K86</f>
        <v>35902.136351525623</v>
      </c>
      <c r="L11" s="11">
        <f>+'03_CatMan_DDI'!L86</f>
        <v>35902.136351525623</v>
      </c>
      <c r="M11" s="11">
        <f>+'03_CatMan_DDI'!M86</f>
        <v>35902.136351525623</v>
      </c>
      <c r="N11" s="11">
        <f>+'03_CatMan_DDI'!N86</f>
        <v>35902.136351525623</v>
      </c>
      <c r="O11" s="11">
        <f>+'03_CatMan_DDI'!O86</f>
        <v>35902.136351525623</v>
      </c>
      <c r="P11" s="42"/>
      <c r="Q11" t="s">
        <v>165</v>
      </c>
    </row>
    <row r="12" spans="2:17">
      <c r="B12" s="3" t="s">
        <v>56</v>
      </c>
      <c r="C12" s="11"/>
      <c r="D12" s="11">
        <f t="shared" ref="D12:O12" si="1">C11-D11</f>
        <v>5482.9780642558617</v>
      </c>
      <c r="E12" s="11">
        <f t="shared" si="1"/>
        <v>0</v>
      </c>
      <c r="F12" s="11">
        <f t="shared" si="1"/>
        <v>0</v>
      </c>
      <c r="G12" s="11">
        <f t="shared" si="1"/>
        <v>0</v>
      </c>
      <c r="H12" s="11">
        <f t="shared" si="1"/>
        <v>0</v>
      </c>
      <c r="I12" s="11">
        <f t="shared" si="1"/>
        <v>0</v>
      </c>
      <c r="J12" s="11">
        <f t="shared" si="1"/>
        <v>0</v>
      </c>
      <c r="K12" s="11">
        <f t="shared" si="1"/>
        <v>0</v>
      </c>
      <c r="L12" s="11">
        <f t="shared" si="1"/>
        <v>0</v>
      </c>
      <c r="M12" s="11">
        <f t="shared" si="1"/>
        <v>0</v>
      </c>
      <c r="N12" s="11">
        <f t="shared" si="1"/>
        <v>0</v>
      </c>
      <c r="O12" s="11">
        <f t="shared" si="1"/>
        <v>0</v>
      </c>
      <c r="P12" s="42">
        <f>SUM(D12:O12)</f>
        <v>5482.9780642558617</v>
      </c>
    </row>
    <row r="13" spans="2:17">
      <c r="B13" s="3" t="s">
        <v>57</v>
      </c>
      <c r="C13" s="9">
        <f>+D13</f>
        <v>265.4111842105267</v>
      </c>
      <c r="D13" s="9">
        <f>+'05_CLV_Marketing'!D57</f>
        <v>265.4111842105267</v>
      </c>
      <c r="E13" s="9">
        <f>+'05_CLV_Marketing'!E57</f>
        <v>302.1503906250008</v>
      </c>
      <c r="F13" s="9">
        <f>+'05_CLV_Marketing'!F57</f>
        <v>335.49743269428546</v>
      </c>
      <c r="G13" s="9">
        <f>+'05_CLV_Marketing'!G57</f>
        <v>365.71247305057011</v>
      </c>
      <c r="H13" s="9">
        <f>+'05_CLV_Marketing'!H57</f>
        <v>393.03733562859696</v>
      </c>
      <c r="I13" s="9">
        <f>+'05_CLV_Marketing'!I57</f>
        <v>417.69673299015363</v>
      </c>
      <c r="J13" s="9">
        <f>+'05_CLV_Marketing'!J57</f>
        <v>439.89941421417188</v>
      </c>
      <c r="K13" s="9">
        <f>+'05_CLV_Marketing'!K57</f>
        <v>459.83923838065118</v>
      </c>
      <c r="L13" s="9">
        <f>+'05_CLV_Marketing'!L57</f>
        <v>477.69617836311943</v>
      </c>
      <c r="M13" s="9">
        <f>+'05_CLV_Marketing'!M57</f>
        <v>493.63725935016305</v>
      </c>
      <c r="N13" s="9">
        <f>+'05_CLV_Marketing'!N57</f>
        <v>507.81743624055946</v>
      </c>
      <c r="O13" s="9">
        <f>+'05_CLV_Marketing'!O57</f>
        <v>520.38041379756578</v>
      </c>
      <c r="P13" s="28">
        <f>+'05_CLV_Marketing'!P57</f>
        <v>4978.7754895453645</v>
      </c>
    </row>
    <row r="14" spans="2:17">
      <c r="B14" s="3" t="s">
        <v>27</v>
      </c>
      <c r="C14" s="11">
        <f>+'06_Red_CAPEX'!D87</f>
        <v>0</v>
      </c>
      <c r="D14" s="11">
        <f>+'06_Red_CAPEX'!E87</f>
        <v>0</v>
      </c>
      <c r="E14" s="11">
        <f>+'06_Red_CAPEX'!F87</f>
        <v>0</v>
      </c>
      <c r="F14" s="11">
        <f>+'06_Red_CAPEX'!G87</f>
        <v>5833.3333333333339</v>
      </c>
      <c r="G14" s="11">
        <f>+'06_Red_CAPEX'!H87</f>
        <v>0</v>
      </c>
      <c r="H14" s="11">
        <f>+'06_Red_CAPEX'!I87</f>
        <v>0</v>
      </c>
      <c r="I14" s="11">
        <f>+'06_Red_CAPEX'!J87</f>
        <v>4400</v>
      </c>
      <c r="J14" s="11">
        <f>+'06_Red_CAPEX'!K87</f>
        <v>5833.3333333333339</v>
      </c>
      <c r="K14" s="11">
        <f>+'06_Red_CAPEX'!L87</f>
        <v>4400</v>
      </c>
      <c r="L14" s="11">
        <f>+'06_Red_CAPEX'!M87</f>
        <v>0</v>
      </c>
      <c r="M14" s="11">
        <f>+'06_Red_CAPEX'!N87</f>
        <v>10233.333333333334</v>
      </c>
      <c r="N14" s="11">
        <f>+'06_Red_CAPEX'!O87</f>
        <v>0</v>
      </c>
      <c r="O14" s="11">
        <f>+'06_Red_CAPEX'!P87</f>
        <v>4400</v>
      </c>
      <c r="P14" s="42">
        <f>+'06_Red_CAPEX'!Q87</f>
        <v>35100</v>
      </c>
    </row>
    <row r="15" spans="2:17">
      <c r="B15" s="3" t="s">
        <v>270</v>
      </c>
      <c r="C15" s="9">
        <f>+'02_Pricing'!C104</f>
        <v>100.00000000000001</v>
      </c>
      <c r="D15" s="9">
        <f>+'02_Pricing'!D104</f>
        <v>100.00000000000001</v>
      </c>
      <c r="E15" s="9">
        <f>+'02_Pricing'!E104</f>
        <v>100.00000000000001</v>
      </c>
      <c r="F15" s="9">
        <f>+'02_Pricing'!F104</f>
        <v>100.00000000000001</v>
      </c>
      <c r="G15" s="9">
        <f>+'02_Pricing'!G104</f>
        <v>100.00000000000001</v>
      </c>
      <c r="H15" s="9">
        <f>+'02_Pricing'!H104</f>
        <v>100.00000000000001</v>
      </c>
      <c r="I15" s="9">
        <f>+'02_Pricing'!I104</f>
        <v>100.00000000000001</v>
      </c>
      <c r="J15" s="9">
        <f>+'02_Pricing'!J104</f>
        <v>100.00000000000001</v>
      </c>
      <c r="K15" s="9">
        <f>+'02_Pricing'!K104</f>
        <v>100.00000000000001</v>
      </c>
      <c r="L15" s="9">
        <f>+'02_Pricing'!L104</f>
        <v>100.00000000000001</v>
      </c>
      <c r="M15" s="9">
        <f>+'02_Pricing'!M104</f>
        <v>100.00000000000001</v>
      </c>
      <c r="N15" s="9">
        <f>+'02_Pricing'!N104</f>
        <v>100.00000000000001</v>
      </c>
      <c r="O15" s="9">
        <f>+'02_Pricing'!O104</f>
        <v>100.00000000000001</v>
      </c>
      <c r="P15" s="42">
        <f>+'06_Red_CAPEX'!Q88</f>
        <v>0</v>
      </c>
    </row>
    <row r="16" spans="2:17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45"/>
    </row>
    <row r="17" spans="2:16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45"/>
    </row>
    <row r="18" spans="2:16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45"/>
    </row>
    <row r="19" spans="2:16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45"/>
    </row>
    <row r="20" spans="2:16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45"/>
    </row>
    <row r="21" spans="2:16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45"/>
    </row>
    <row r="22" spans="2:16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45"/>
    </row>
    <row r="23" spans="2:16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45"/>
    </row>
    <row r="24" spans="2:16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45"/>
    </row>
    <row r="25" spans="2:16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45"/>
    </row>
    <row r="26" spans="2:16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45"/>
    </row>
    <row r="27" spans="2:16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45"/>
    </row>
    <row r="28" spans="2:16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45"/>
    </row>
    <row r="29" spans="2:16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45"/>
    </row>
    <row r="30" spans="2:16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45"/>
    </row>
    <row r="31" spans="2:16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45"/>
    </row>
    <row r="32" spans="2:16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45"/>
    </row>
    <row r="33" spans="2:16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45"/>
    </row>
    <row r="34" spans="2:16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45"/>
    </row>
    <row r="35" spans="2:16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45"/>
    </row>
    <row r="36" spans="2:16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45"/>
    </row>
    <row r="37" spans="2:16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45"/>
    </row>
    <row r="38" spans="2:16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45"/>
    </row>
    <row r="39" spans="2:16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45"/>
    </row>
    <row r="40" spans="2:16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45"/>
    </row>
    <row r="41" spans="2:16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45"/>
    </row>
    <row r="42" spans="2:16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45"/>
    </row>
    <row r="43" spans="2:16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45"/>
    </row>
    <row r="44" spans="2:16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45"/>
    </row>
    <row r="45" spans="2:16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45"/>
    </row>
    <row r="46" spans="2:16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45"/>
    </row>
    <row r="47" spans="2:16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45"/>
    </row>
    <row r="48" spans="2:16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45"/>
    </row>
    <row r="49" spans="2:16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45"/>
    </row>
    <row r="50" spans="2:16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45"/>
    </row>
    <row r="51" spans="2:16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45"/>
    </row>
    <row r="52" spans="2:16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45"/>
    </row>
    <row r="53" spans="2:16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45"/>
    </row>
    <row r="54" spans="2:16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45"/>
    </row>
    <row r="55" spans="2:16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45"/>
    </row>
    <row r="56" spans="2:16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45"/>
    </row>
    <row r="57" spans="2:16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45"/>
    </row>
    <row r="58" spans="2:16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45"/>
    </row>
    <row r="59" spans="2:16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45"/>
    </row>
  </sheetData>
  <pageMargins left="0.7" right="0.7" top="0.75" bottom="0.75" header="0.3" footer="0.3"/>
  <ignoredErrors>
    <ignoredError sqref="P7:P10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-0.499984740745262"/>
  </sheetPr>
  <dimension ref="A3:S104"/>
  <sheetViews>
    <sheetView showGridLines="0" workbookViewId="0">
      <pane xSplit="2" ySplit="5" topLeftCell="C87" activePane="bottomRight" state="frozen"/>
      <selection pane="topRight" activeCell="C1" sqref="C1"/>
      <selection pane="bottomLeft" activeCell="A6" sqref="A6"/>
      <selection pane="bottomRight" activeCell="N97" sqref="N97"/>
    </sheetView>
  </sheetViews>
  <sheetFormatPr defaultRowHeight="14.15"/>
  <cols>
    <col min="1" max="1" width="2.78515625" customWidth="1"/>
    <col min="2" max="2" width="19.5703125" customWidth="1"/>
    <col min="3" max="6" width="7.5703125" customWidth="1"/>
    <col min="7" max="9" width="7.5703125" style="39" customWidth="1"/>
    <col min="10" max="14" width="7.5703125" customWidth="1"/>
    <col min="15" max="15" width="7.5703125" style="39" customWidth="1"/>
    <col min="16" max="18" width="7.0703125" style="39" customWidth="1"/>
  </cols>
  <sheetData>
    <row r="3" spans="2:19" ht="18.45">
      <c r="B3" s="29" t="s">
        <v>58</v>
      </c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S3" s="8"/>
    </row>
    <row r="4" spans="2:19">
      <c r="B4" s="1"/>
      <c r="C4" s="1"/>
      <c r="D4" s="1"/>
      <c r="E4" s="1"/>
      <c r="F4" s="1"/>
      <c r="G4" s="38"/>
      <c r="H4" s="38"/>
      <c r="I4" s="38"/>
      <c r="J4" s="1"/>
      <c r="S4" s="1"/>
    </row>
    <row r="5" spans="2:19" s="36" customFormat="1" ht="25.3" customHeight="1">
      <c r="B5" s="25" t="s">
        <v>59</v>
      </c>
      <c r="C5" s="25" t="s">
        <v>232</v>
      </c>
      <c r="D5" s="25" t="s">
        <v>233</v>
      </c>
      <c r="E5" s="25" t="s">
        <v>234</v>
      </c>
      <c r="F5" s="25" t="s">
        <v>60</v>
      </c>
      <c r="G5" s="25" t="s">
        <v>230</v>
      </c>
      <c r="H5" s="25" t="s">
        <v>231</v>
      </c>
      <c r="I5" s="25" t="s">
        <v>61</v>
      </c>
      <c r="J5" s="25" t="s">
        <v>62</v>
      </c>
      <c r="K5"/>
      <c r="L5"/>
      <c r="M5"/>
      <c r="N5"/>
      <c r="O5" s="39"/>
      <c r="P5" s="39"/>
      <c r="Q5" s="39"/>
      <c r="R5" s="39"/>
      <c r="S5" s="35"/>
    </row>
    <row r="6" spans="2:19">
      <c r="B6" s="3" t="s">
        <v>63</v>
      </c>
      <c r="C6" s="20">
        <v>6617</v>
      </c>
      <c r="D6" s="20">
        <v>4800</v>
      </c>
      <c r="E6" s="20">
        <v>12600</v>
      </c>
      <c r="F6" s="11">
        <f t="shared" ref="F6:F16" si="0">+C6*H6/1000000</f>
        <v>10004.904</v>
      </c>
      <c r="G6" s="11">
        <f t="shared" ref="G6:G16" si="1">+D6*H6/1000000</f>
        <v>7257.6</v>
      </c>
      <c r="H6" s="11">
        <f>+E6*'00_General'!$C$9</f>
        <v>1512000</v>
      </c>
      <c r="I6" s="6">
        <f t="shared" ref="I6:I16" si="2">+(F6-G6)/F6</f>
        <v>0.2745957382499622</v>
      </c>
      <c r="J6" s="48">
        <v>-0.3</v>
      </c>
      <c r="S6" s="1"/>
    </row>
    <row r="7" spans="2:19">
      <c r="B7" s="3" t="s">
        <v>64</v>
      </c>
      <c r="C7" s="20">
        <v>31266.15417965949</v>
      </c>
      <c r="D7" s="20">
        <v>21260.984842168451</v>
      </c>
      <c r="E7" s="20">
        <v>400</v>
      </c>
      <c r="F7" s="11">
        <f t="shared" si="0"/>
        <v>1500.7754006236555</v>
      </c>
      <c r="G7" s="11">
        <f t="shared" si="1"/>
        <v>1020.5272724240856</v>
      </c>
      <c r="H7" s="11">
        <f>+E7*'00_General'!$C$9</f>
        <v>48000</v>
      </c>
      <c r="I7" s="6">
        <f t="shared" si="2"/>
        <v>0.32000000000000012</v>
      </c>
      <c r="J7" s="48">
        <v>-1.1000000000000001</v>
      </c>
      <c r="S7" s="1"/>
    </row>
    <row r="8" spans="2:19">
      <c r="B8" s="3" t="s">
        <v>65</v>
      </c>
      <c r="C8" s="20">
        <v>15159.347481047025</v>
      </c>
      <c r="D8" s="20">
        <v>9853.5758626805673</v>
      </c>
      <c r="E8" s="20">
        <v>1100</v>
      </c>
      <c r="F8" s="11">
        <f t="shared" si="0"/>
        <v>2001.0338674982074</v>
      </c>
      <c r="G8" s="11">
        <f t="shared" si="1"/>
        <v>1300.6720138738349</v>
      </c>
      <c r="H8" s="11">
        <f>+E8*'00_General'!$C$9</f>
        <v>132000</v>
      </c>
      <c r="I8" s="6">
        <f t="shared" si="2"/>
        <v>0.35</v>
      </c>
      <c r="J8" s="48">
        <v>-1</v>
      </c>
      <c r="S8" s="1"/>
    </row>
    <row r="9" spans="2:19">
      <c r="B9" s="3" t="s">
        <v>66</v>
      </c>
      <c r="C9" s="20">
        <v>20844.102786439664</v>
      </c>
      <c r="D9" s="20">
        <v>12923.343727592592</v>
      </c>
      <c r="E9" s="20">
        <v>700</v>
      </c>
      <c r="F9" s="11">
        <f t="shared" si="0"/>
        <v>1750.9046340609316</v>
      </c>
      <c r="G9" s="11">
        <f t="shared" si="1"/>
        <v>1085.5608731177776</v>
      </c>
      <c r="H9" s="11">
        <f>+E9*'00_General'!$C$9</f>
        <v>84000</v>
      </c>
      <c r="I9" s="6">
        <f t="shared" si="2"/>
        <v>0.37999999999999995</v>
      </c>
      <c r="J9" s="48">
        <v>-1.3</v>
      </c>
      <c r="S9" s="1"/>
    </row>
    <row r="10" spans="2:19">
      <c r="B10" s="3" t="s">
        <v>67</v>
      </c>
      <c r="C10" s="20">
        <v>6948.0342621465543</v>
      </c>
      <c r="D10" s="20">
        <v>4585.7026130167251</v>
      </c>
      <c r="E10" s="20">
        <v>4500</v>
      </c>
      <c r="F10" s="11">
        <f t="shared" si="0"/>
        <v>3751.9385015591392</v>
      </c>
      <c r="G10" s="11">
        <f t="shared" si="1"/>
        <v>2476.279411029032</v>
      </c>
      <c r="H10" s="11">
        <f>+E10*'00_General'!$C$9</f>
        <v>540000</v>
      </c>
      <c r="I10" s="6">
        <f t="shared" si="2"/>
        <v>0.33999999999999997</v>
      </c>
      <c r="J10" s="48">
        <v>-0.7</v>
      </c>
      <c r="S10" s="1"/>
    </row>
    <row r="11" spans="2:19">
      <c r="B11" s="3" t="s">
        <v>68</v>
      </c>
      <c r="C11" s="20">
        <v>4737.2960878271961</v>
      </c>
      <c r="D11" s="20">
        <v>3268.734300600765</v>
      </c>
      <c r="E11" s="20">
        <v>2200</v>
      </c>
      <c r="F11" s="11">
        <f t="shared" si="0"/>
        <v>1250.6461671863797</v>
      </c>
      <c r="G11" s="11">
        <f t="shared" si="1"/>
        <v>862.94585535860188</v>
      </c>
      <c r="H11" s="11">
        <f>+E11*'00_General'!$C$9</f>
        <v>264000</v>
      </c>
      <c r="I11" s="6">
        <f t="shared" si="2"/>
        <v>0.31000000000000005</v>
      </c>
      <c r="J11" s="48">
        <v>-1.1000000000000001</v>
      </c>
      <c r="S11" s="1"/>
    </row>
    <row r="12" spans="2:19">
      <c r="B12" s="3" t="s">
        <v>69</v>
      </c>
      <c r="C12" s="20">
        <v>8527.1329580889524</v>
      </c>
      <c r="D12" s="20">
        <v>4945.7371156915933</v>
      </c>
      <c r="E12" s="20">
        <v>2200</v>
      </c>
      <c r="F12" s="11">
        <f t="shared" si="0"/>
        <v>2251.1631009354833</v>
      </c>
      <c r="G12" s="11">
        <f t="shared" si="1"/>
        <v>1305.6745985425805</v>
      </c>
      <c r="H12" s="11">
        <f>+E12*'00_General'!$C$9</f>
        <v>264000</v>
      </c>
      <c r="I12" s="6">
        <f t="shared" si="2"/>
        <v>0.41999999999999993</v>
      </c>
      <c r="J12" s="48">
        <v>-1.2</v>
      </c>
      <c r="S12" s="1"/>
    </row>
    <row r="13" spans="2:19">
      <c r="B13" s="3" t="s">
        <v>70</v>
      </c>
      <c r="C13" s="20">
        <v>12506.461671863797</v>
      </c>
      <c r="D13" s="20">
        <v>8379.3293201487431</v>
      </c>
      <c r="E13" s="20">
        <v>750</v>
      </c>
      <c r="F13" s="11">
        <f t="shared" si="0"/>
        <v>1125.5815504677416</v>
      </c>
      <c r="G13" s="11">
        <f t="shared" si="1"/>
        <v>754.13963881338691</v>
      </c>
      <c r="H13" s="11">
        <f>+E13*'00_General'!$C$9</f>
        <v>90000</v>
      </c>
      <c r="I13" s="6">
        <f t="shared" si="2"/>
        <v>0.33</v>
      </c>
      <c r="J13" s="48">
        <v>-0.8</v>
      </c>
      <c r="S13" s="1"/>
    </row>
    <row r="14" spans="2:19">
      <c r="B14" s="3" t="s">
        <v>71</v>
      </c>
      <c r="C14" s="20">
        <v>3821.4188441806045</v>
      </c>
      <c r="D14" s="20">
        <v>2445.7080602755868</v>
      </c>
      <c r="E14" s="20">
        <v>3000</v>
      </c>
      <c r="F14" s="11">
        <f t="shared" si="0"/>
        <v>1375.7107839050177</v>
      </c>
      <c r="G14" s="11">
        <f t="shared" si="1"/>
        <v>880.45490169921129</v>
      </c>
      <c r="H14" s="11">
        <f>+E14*'00_General'!$C$9</f>
        <v>360000</v>
      </c>
      <c r="I14" s="6">
        <f t="shared" si="2"/>
        <v>0.36000000000000004</v>
      </c>
      <c r="J14" s="48">
        <v>-1.25</v>
      </c>
      <c r="S14" s="1"/>
    </row>
    <row r="15" spans="2:19">
      <c r="B15" s="3" t="s">
        <v>72</v>
      </c>
      <c r="C15" s="20">
        <v>1908.2629311529267</v>
      </c>
      <c r="D15" s="20">
        <v>1240.3709052494023</v>
      </c>
      <c r="E15" s="20">
        <v>7100</v>
      </c>
      <c r="F15" s="11">
        <f t="shared" si="0"/>
        <v>1625.8400173422935</v>
      </c>
      <c r="G15" s="11">
        <f t="shared" si="1"/>
        <v>1056.7960112724907</v>
      </c>
      <c r="H15" s="11">
        <f>+E15*'00_General'!$C$9</f>
        <v>852000</v>
      </c>
      <c r="I15" s="6">
        <f t="shared" si="2"/>
        <v>0.35000000000000009</v>
      </c>
      <c r="J15" s="48">
        <v>-1.1499999999999999</v>
      </c>
      <c r="S15" s="1"/>
    </row>
    <row r="16" spans="2:19">
      <c r="B16" s="3" t="s">
        <v>73</v>
      </c>
      <c r="C16" s="20">
        <v>40014.721892025169</v>
      </c>
      <c r="D16" s="20">
        <v>20807.655383853089</v>
      </c>
      <c r="E16" s="20">
        <v>700</v>
      </c>
      <c r="F16" s="11">
        <f t="shared" si="0"/>
        <v>3361.2366389301142</v>
      </c>
      <c r="G16" s="11">
        <f t="shared" si="1"/>
        <v>1747.8430522436595</v>
      </c>
      <c r="H16" s="11">
        <f>+E16*'00_General'!$C$9</f>
        <v>84000</v>
      </c>
      <c r="I16" s="6">
        <f t="shared" si="2"/>
        <v>0.48</v>
      </c>
      <c r="J16" s="48">
        <v>-1.4</v>
      </c>
      <c r="S16" s="1"/>
    </row>
    <row r="17" spans="1:19">
      <c r="B17" s="3"/>
      <c r="C17" s="3"/>
      <c r="D17" s="3"/>
      <c r="E17" s="3"/>
      <c r="F17" s="11"/>
      <c r="G17" s="11"/>
      <c r="H17" s="3"/>
      <c r="I17" s="6"/>
      <c r="J17" s="3"/>
      <c r="S17" s="1"/>
    </row>
    <row r="18" spans="1:19" s="47" customFormat="1">
      <c r="A18" s="42"/>
      <c r="B18" s="43" t="s">
        <v>74</v>
      </c>
      <c r="C18" s="43"/>
      <c r="D18" s="43"/>
      <c r="E18" s="42">
        <f>SUM(E6:E16)</f>
        <v>35250</v>
      </c>
      <c r="F18" s="42">
        <f>SUM(F6:F16)</f>
        <v>29999.734662508959</v>
      </c>
      <c r="G18" s="42">
        <f>SUM(G6:G16)</f>
        <v>19748.493628374661</v>
      </c>
      <c r="H18" s="42">
        <f>SUM(H6:H16)</f>
        <v>4230000</v>
      </c>
      <c r="I18" s="27">
        <f>+(F18-G18)/F18</f>
        <v>0.34171105676295871</v>
      </c>
      <c r="J18" s="43"/>
      <c r="K18"/>
      <c r="L18"/>
      <c r="M18"/>
      <c r="N18"/>
      <c r="O18" s="39"/>
      <c r="P18" s="39"/>
      <c r="Q18" s="39"/>
      <c r="R18" s="39"/>
      <c r="S18" s="45"/>
    </row>
    <row r="19" spans="1:19">
      <c r="B19" s="1"/>
      <c r="C19" s="1"/>
      <c r="D19" s="1"/>
      <c r="E19" s="1"/>
      <c r="F19" s="38"/>
      <c r="G19" s="38"/>
      <c r="H19" s="38">
        <f>+F18*1000000/H18</f>
        <v>7092.1358540210313</v>
      </c>
      <c r="I19" s="1"/>
      <c r="J19" s="1"/>
      <c r="S19" s="1"/>
    </row>
    <row r="20" spans="1:19">
      <c r="B20" s="1"/>
      <c r="C20" s="1"/>
      <c r="D20" s="1"/>
      <c r="E20" s="1"/>
      <c r="F20" s="1"/>
      <c r="G20" s="38"/>
      <c r="H20" s="38"/>
      <c r="I20" s="38"/>
      <c r="J20" s="1"/>
      <c r="K20" s="1"/>
      <c r="L20" s="1"/>
      <c r="M20" s="1"/>
      <c r="N20" s="1"/>
      <c r="O20" s="38"/>
      <c r="P20" s="38"/>
      <c r="Q20" s="38"/>
      <c r="R20" s="38"/>
      <c r="S20" s="1"/>
    </row>
    <row r="21" spans="1:19" ht="15.9">
      <c r="B21" s="68" t="s">
        <v>238</v>
      </c>
      <c r="C21" s="68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38"/>
      <c r="Q21" s="38"/>
      <c r="R21" s="38"/>
      <c r="S21" s="1"/>
    </row>
    <row r="22" spans="1:19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38"/>
      <c r="Q22" s="38"/>
      <c r="R22" s="38"/>
      <c r="S22" s="1"/>
    </row>
    <row r="23" spans="1:19">
      <c r="B23" s="25" t="s">
        <v>59</v>
      </c>
      <c r="C23" s="2" t="s">
        <v>38</v>
      </c>
      <c r="D23" s="2" t="s">
        <v>9</v>
      </c>
      <c r="E23" s="2" t="s">
        <v>39</v>
      </c>
      <c r="F23" s="2" t="s">
        <v>40</v>
      </c>
      <c r="G23" s="2" t="s">
        <v>41</v>
      </c>
      <c r="H23" s="2" t="s">
        <v>42</v>
      </c>
      <c r="I23" s="2" t="s">
        <v>43</v>
      </c>
      <c r="J23" s="2" t="s">
        <v>44</v>
      </c>
      <c r="K23" s="2" t="s">
        <v>45</v>
      </c>
      <c r="L23" s="2" t="s">
        <v>46</v>
      </c>
      <c r="M23" s="2" t="s">
        <v>47</v>
      </c>
      <c r="N23" s="2" t="s">
        <v>48</v>
      </c>
      <c r="O23" s="2" t="s">
        <v>49</v>
      </c>
      <c r="P23" s="38"/>
      <c r="Q23" s="38"/>
      <c r="R23" s="38"/>
      <c r="S23" s="1"/>
    </row>
    <row r="24" spans="1:19">
      <c r="B24" s="3" t="s">
        <v>236</v>
      </c>
      <c r="C24" s="70"/>
      <c r="D24" s="69">
        <v>0</v>
      </c>
      <c r="E24" s="69">
        <v>0</v>
      </c>
      <c r="F24" s="69">
        <v>0</v>
      </c>
      <c r="G24" s="69">
        <v>0</v>
      </c>
      <c r="H24" s="69">
        <v>0</v>
      </c>
      <c r="I24" s="69">
        <v>0</v>
      </c>
      <c r="J24" s="69">
        <v>0</v>
      </c>
      <c r="K24" s="69">
        <v>0</v>
      </c>
      <c r="L24" s="69">
        <v>0</v>
      </c>
      <c r="M24" s="69">
        <v>0</v>
      </c>
      <c r="N24" s="69">
        <v>0</v>
      </c>
      <c r="O24" s="69">
        <v>0</v>
      </c>
      <c r="P24" s="38"/>
      <c r="Q24" s="38"/>
      <c r="R24" s="38"/>
      <c r="S24" s="1"/>
    </row>
    <row r="25" spans="1:19">
      <c r="B25" s="3" t="s">
        <v>64</v>
      </c>
      <c r="C25" s="70"/>
      <c r="D25" s="69">
        <v>0</v>
      </c>
      <c r="E25" s="69">
        <v>0</v>
      </c>
      <c r="F25" s="69">
        <v>0</v>
      </c>
      <c r="G25" s="69">
        <v>0</v>
      </c>
      <c r="H25" s="69">
        <v>0</v>
      </c>
      <c r="I25" s="69">
        <v>0</v>
      </c>
      <c r="J25" s="69">
        <v>0</v>
      </c>
      <c r="K25" s="69">
        <v>0</v>
      </c>
      <c r="L25" s="69">
        <v>0</v>
      </c>
      <c r="M25" s="69">
        <v>0</v>
      </c>
      <c r="N25" s="69">
        <v>0</v>
      </c>
      <c r="O25" s="69">
        <v>0</v>
      </c>
      <c r="P25" s="38"/>
      <c r="Q25" s="38"/>
      <c r="R25" s="38"/>
      <c r="S25" s="1"/>
    </row>
    <row r="26" spans="1:19">
      <c r="B26" s="3" t="s">
        <v>65</v>
      </c>
      <c r="C26" s="70"/>
      <c r="D26" s="69">
        <v>0</v>
      </c>
      <c r="E26" s="69">
        <v>0</v>
      </c>
      <c r="F26" s="69">
        <v>0</v>
      </c>
      <c r="G26" s="69">
        <v>0</v>
      </c>
      <c r="H26" s="69">
        <v>0</v>
      </c>
      <c r="I26" s="69">
        <v>0</v>
      </c>
      <c r="J26" s="69">
        <v>0</v>
      </c>
      <c r="K26" s="69">
        <v>0</v>
      </c>
      <c r="L26" s="69">
        <v>0</v>
      </c>
      <c r="M26" s="69">
        <v>0</v>
      </c>
      <c r="N26" s="69">
        <v>0</v>
      </c>
      <c r="O26" s="69">
        <v>0</v>
      </c>
      <c r="P26" s="38"/>
      <c r="Q26" s="38"/>
      <c r="R26" s="38"/>
      <c r="S26" s="1"/>
    </row>
    <row r="27" spans="1:19">
      <c r="B27" s="3" t="s">
        <v>66</v>
      </c>
      <c r="C27" s="70"/>
      <c r="D27" s="69">
        <v>0</v>
      </c>
      <c r="E27" s="69">
        <v>0</v>
      </c>
      <c r="F27" s="69">
        <v>0</v>
      </c>
      <c r="G27" s="69">
        <v>0</v>
      </c>
      <c r="H27" s="69">
        <v>0</v>
      </c>
      <c r="I27" s="69">
        <v>0</v>
      </c>
      <c r="J27" s="69">
        <v>0</v>
      </c>
      <c r="K27" s="69">
        <v>0</v>
      </c>
      <c r="L27" s="69">
        <v>0</v>
      </c>
      <c r="M27" s="69">
        <v>0</v>
      </c>
      <c r="N27" s="69">
        <v>0</v>
      </c>
      <c r="O27" s="69">
        <v>0</v>
      </c>
      <c r="P27" s="38"/>
      <c r="Q27" s="38"/>
      <c r="R27" s="38"/>
      <c r="S27" s="1"/>
    </row>
    <row r="28" spans="1:19">
      <c r="B28" s="3" t="s">
        <v>67</v>
      </c>
      <c r="C28" s="70"/>
      <c r="D28" s="69">
        <v>0</v>
      </c>
      <c r="E28" s="69">
        <v>0</v>
      </c>
      <c r="F28" s="69">
        <v>0</v>
      </c>
      <c r="G28" s="69">
        <v>0</v>
      </c>
      <c r="H28" s="69">
        <v>0</v>
      </c>
      <c r="I28" s="69">
        <v>0</v>
      </c>
      <c r="J28" s="69">
        <v>0</v>
      </c>
      <c r="K28" s="69">
        <v>0</v>
      </c>
      <c r="L28" s="69">
        <v>0</v>
      </c>
      <c r="M28" s="69">
        <v>0</v>
      </c>
      <c r="N28" s="69">
        <v>0</v>
      </c>
      <c r="O28" s="69">
        <v>0</v>
      </c>
      <c r="P28" s="38"/>
      <c r="Q28" s="38"/>
      <c r="R28" s="38"/>
      <c r="S28" s="1"/>
    </row>
    <row r="29" spans="1:19">
      <c r="B29" s="3" t="s">
        <v>68</v>
      </c>
      <c r="C29" s="70"/>
      <c r="D29" s="69">
        <v>0</v>
      </c>
      <c r="E29" s="69">
        <v>0</v>
      </c>
      <c r="F29" s="69">
        <v>0</v>
      </c>
      <c r="G29" s="69">
        <v>0</v>
      </c>
      <c r="H29" s="69">
        <v>0</v>
      </c>
      <c r="I29" s="69">
        <v>0</v>
      </c>
      <c r="J29" s="69">
        <v>0</v>
      </c>
      <c r="K29" s="69">
        <v>0</v>
      </c>
      <c r="L29" s="69">
        <v>0</v>
      </c>
      <c r="M29" s="69">
        <v>0</v>
      </c>
      <c r="N29" s="69">
        <v>0</v>
      </c>
      <c r="O29" s="69">
        <v>0</v>
      </c>
      <c r="P29" s="38"/>
      <c r="Q29" s="38"/>
      <c r="R29" s="38"/>
      <c r="S29" s="1"/>
    </row>
    <row r="30" spans="1:19">
      <c r="B30" s="3" t="s">
        <v>69</v>
      </c>
      <c r="C30" s="70"/>
      <c r="D30" s="69">
        <v>0</v>
      </c>
      <c r="E30" s="69">
        <v>0</v>
      </c>
      <c r="F30" s="69">
        <v>0</v>
      </c>
      <c r="G30" s="69">
        <v>0</v>
      </c>
      <c r="H30" s="69">
        <v>0</v>
      </c>
      <c r="I30" s="69">
        <v>0</v>
      </c>
      <c r="J30" s="69">
        <v>0</v>
      </c>
      <c r="K30" s="69">
        <v>0</v>
      </c>
      <c r="L30" s="69">
        <v>0</v>
      </c>
      <c r="M30" s="69">
        <v>0</v>
      </c>
      <c r="N30" s="69">
        <v>0</v>
      </c>
      <c r="O30" s="69">
        <v>0</v>
      </c>
      <c r="P30" s="38"/>
      <c r="Q30" s="38"/>
      <c r="R30" s="38"/>
      <c r="S30" s="1"/>
    </row>
    <row r="31" spans="1:19">
      <c r="B31" s="3" t="s">
        <v>70</v>
      </c>
      <c r="C31" s="70"/>
      <c r="D31" s="69">
        <v>0</v>
      </c>
      <c r="E31" s="69">
        <v>0</v>
      </c>
      <c r="F31" s="69">
        <v>0</v>
      </c>
      <c r="G31" s="69">
        <v>0</v>
      </c>
      <c r="H31" s="69">
        <v>0</v>
      </c>
      <c r="I31" s="69">
        <v>0</v>
      </c>
      <c r="J31" s="69">
        <v>0</v>
      </c>
      <c r="K31" s="69">
        <v>0</v>
      </c>
      <c r="L31" s="69">
        <v>0</v>
      </c>
      <c r="M31" s="69">
        <v>0</v>
      </c>
      <c r="N31" s="69">
        <v>0</v>
      </c>
      <c r="O31" s="69">
        <v>0</v>
      </c>
      <c r="P31" s="38"/>
      <c r="Q31" s="38"/>
      <c r="R31" s="38"/>
      <c r="S31" s="1"/>
    </row>
    <row r="32" spans="1:19">
      <c r="B32" s="3" t="s">
        <v>71</v>
      </c>
      <c r="C32" s="70"/>
      <c r="D32" s="69">
        <v>0</v>
      </c>
      <c r="E32" s="69">
        <v>0</v>
      </c>
      <c r="F32" s="69">
        <v>0</v>
      </c>
      <c r="G32" s="69">
        <v>0</v>
      </c>
      <c r="H32" s="69">
        <v>0</v>
      </c>
      <c r="I32" s="69">
        <v>0</v>
      </c>
      <c r="J32" s="69">
        <v>0</v>
      </c>
      <c r="K32" s="69">
        <v>0</v>
      </c>
      <c r="L32" s="69">
        <v>0</v>
      </c>
      <c r="M32" s="69">
        <v>0</v>
      </c>
      <c r="N32" s="69">
        <v>0</v>
      </c>
      <c r="O32" s="69">
        <v>0</v>
      </c>
      <c r="P32" s="38"/>
      <c r="Q32" s="38"/>
      <c r="R32" s="38"/>
      <c r="S32" s="1"/>
    </row>
    <row r="33" spans="2:19">
      <c r="B33" s="3" t="s">
        <v>72</v>
      </c>
      <c r="C33" s="70"/>
      <c r="D33" s="69">
        <v>0</v>
      </c>
      <c r="E33" s="69">
        <v>0</v>
      </c>
      <c r="F33" s="69">
        <v>0</v>
      </c>
      <c r="G33" s="69">
        <v>0</v>
      </c>
      <c r="H33" s="69">
        <v>0</v>
      </c>
      <c r="I33" s="69">
        <v>0</v>
      </c>
      <c r="J33" s="69">
        <v>0</v>
      </c>
      <c r="K33" s="69">
        <v>0</v>
      </c>
      <c r="L33" s="69">
        <v>0</v>
      </c>
      <c r="M33" s="69">
        <v>0</v>
      </c>
      <c r="N33" s="69">
        <v>0</v>
      </c>
      <c r="O33" s="69">
        <v>0</v>
      </c>
      <c r="P33" s="38"/>
      <c r="Q33" s="38"/>
      <c r="R33" s="38"/>
      <c r="S33" s="1"/>
    </row>
    <row r="34" spans="2:19">
      <c r="B34" s="3" t="s">
        <v>73</v>
      </c>
      <c r="C34" s="70"/>
      <c r="D34" s="69">
        <v>0</v>
      </c>
      <c r="E34" s="69">
        <v>0</v>
      </c>
      <c r="F34" s="69">
        <v>0</v>
      </c>
      <c r="G34" s="69">
        <v>0</v>
      </c>
      <c r="H34" s="69">
        <v>0</v>
      </c>
      <c r="I34" s="69">
        <v>0</v>
      </c>
      <c r="J34" s="69">
        <v>0</v>
      </c>
      <c r="K34" s="69">
        <v>0</v>
      </c>
      <c r="L34" s="69">
        <v>0</v>
      </c>
      <c r="M34" s="69">
        <v>0</v>
      </c>
      <c r="N34" s="69">
        <v>0</v>
      </c>
      <c r="O34" s="69">
        <v>0</v>
      </c>
      <c r="P34" s="38"/>
      <c r="Q34" s="38"/>
      <c r="R34" s="38"/>
      <c r="S34" s="1"/>
    </row>
    <row r="35" spans="2:19">
      <c r="B35" s="3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38"/>
      <c r="Q35" s="38"/>
      <c r="R35" s="38"/>
      <c r="S35" s="1"/>
    </row>
    <row r="36" spans="2:19">
      <c r="B36" s="3" t="s">
        <v>82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38"/>
      <c r="Q36" s="38"/>
      <c r="R36" s="38"/>
      <c r="S36" s="1"/>
    </row>
    <row r="37" spans="2:19">
      <c r="B37" s="1"/>
      <c r="C37" s="1"/>
      <c r="D37" s="1"/>
      <c r="E37" s="1"/>
      <c r="F37" s="1"/>
      <c r="G37" s="38"/>
      <c r="H37" s="38"/>
      <c r="I37" s="38"/>
      <c r="J37" s="1"/>
      <c r="K37" s="1"/>
      <c r="L37" s="1"/>
      <c r="M37" s="1"/>
      <c r="N37" s="1"/>
      <c r="O37" s="38"/>
      <c r="P37" s="38"/>
      <c r="Q37" s="38"/>
      <c r="R37" s="38"/>
      <c r="S37" s="1"/>
    </row>
    <row r="38" spans="2:19" ht="15.9">
      <c r="B38" s="68" t="s">
        <v>237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38"/>
      <c r="Q38" s="38"/>
      <c r="R38" s="38"/>
      <c r="S38" s="1"/>
    </row>
    <row r="39" spans="2:19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38"/>
      <c r="Q39" s="38"/>
      <c r="R39" s="38"/>
      <c r="S39" s="1"/>
    </row>
    <row r="40" spans="2:19">
      <c r="B40" s="25" t="s">
        <v>59</v>
      </c>
      <c r="C40" s="2" t="s">
        <v>38</v>
      </c>
      <c r="D40" s="2" t="s">
        <v>9</v>
      </c>
      <c r="E40" s="2" t="s">
        <v>39</v>
      </c>
      <c r="F40" s="2" t="s">
        <v>40</v>
      </c>
      <c r="G40" s="2" t="s">
        <v>41</v>
      </c>
      <c r="H40" s="2" t="s">
        <v>42</v>
      </c>
      <c r="I40" s="2" t="s">
        <v>43</v>
      </c>
      <c r="J40" s="2" t="s">
        <v>44</v>
      </c>
      <c r="K40" s="2" t="s">
        <v>45</v>
      </c>
      <c r="L40" s="2" t="s">
        <v>46</v>
      </c>
      <c r="M40" s="2" t="s">
        <v>47</v>
      </c>
      <c r="N40" s="2" t="s">
        <v>48</v>
      </c>
      <c r="O40" s="2" t="s">
        <v>49</v>
      </c>
      <c r="P40" s="38"/>
      <c r="Q40" s="38"/>
      <c r="R40" s="38"/>
      <c r="S40" s="1"/>
    </row>
    <row r="41" spans="2:19">
      <c r="B41" s="3" t="s">
        <v>236</v>
      </c>
      <c r="C41" s="11">
        <f>+F6</f>
        <v>10004.904</v>
      </c>
      <c r="D41" s="11">
        <f>+(($H$6*(1+$J$6*$D$24))*($C$6*(1+$D$24)))/1000000</f>
        <v>10004.904</v>
      </c>
      <c r="E41" s="11">
        <f t="shared" ref="E41:O41" si="3">+(($H6*(1+$J6*E24))*($C6*(1+E24)))/1000000</f>
        <v>10004.904</v>
      </c>
      <c r="F41" s="11">
        <f t="shared" si="3"/>
        <v>10004.904</v>
      </c>
      <c r="G41" s="11">
        <f t="shared" si="3"/>
        <v>10004.904</v>
      </c>
      <c r="H41" s="11">
        <f t="shared" si="3"/>
        <v>10004.904</v>
      </c>
      <c r="I41" s="11">
        <f t="shared" si="3"/>
        <v>10004.904</v>
      </c>
      <c r="J41" s="11">
        <f t="shared" si="3"/>
        <v>10004.904</v>
      </c>
      <c r="K41" s="11">
        <f t="shared" si="3"/>
        <v>10004.904</v>
      </c>
      <c r="L41" s="11">
        <f t="shared" si="3"/>
        <v>10004.904</v>
      </c>
      <c r="M41" s="11">
        <f t="shared" si="3"/>
        <v>10004.904</v>
      </c>
      <c r="N41" s="11">
        <f t="shared" si="3"/>
        <v>10004.904</v>
      </c>
      <c r="O41" s="11">
        <f t="shared" si="3"/>
        <v>10004.904</v>
      </c>
      <c r="P41" s="38"/>
      <c r="Q41" s="38"/>
      <c r="R41" s="38"/>
      <c r="S41" s="1"/>
    </row>
    <row r="42" spans="2:19">
      <c r="B42" s="3" t="s">
        <v>64</v>
      </c>
      <c r="C42" s="11">
        <f t="shared" ref="C42:C51" si="4">+F7</f>
        <v>1500.7754006236555</v>
      </c>
      <c r="D42" s="11">
        <f t="shared" ref="D42:D51" si="5">+(($H7*(1+$J7*D25))*($C7*(1+D25)))/1000000</f>
        <v>1500.7754006236555</v>
      </c>
      <c r="E42" s="11">
        <f t="shared" ref="E42:O42" si="6">+(($H7*(1+$J7*E25))*($C7*(1+E25)))/1000000</f>
        <v>1500.7754006236555</v>
      </c>
      <c r="F42" s="11">
        <f t="shared" si="6"/>
        <v>1500.7754006236555</v>
      </c>
      <c r="G42" s="11">
        <f t="shared" si="6"/>
        <v>1500.7754006236555</v>
      </c>
      <c r="H42" s="11">
        <f t="shared" si="6"/>
        <v>1500.7754006236555</v>
      </c>
      <c r="I42" s="11">
        <f t="shared" si="6"/>
        <v>1500.7754006236555</v>
      </c>
      <c r="J42" s="11">
        <f t="shared" si="6"/>
        <v>1500.7754006236555</v>
      </c>
      <c r="K42" s="11">
        <f t="shared" si="6"/>
        <v>1500.7754006236555</v>
      </c>
      <c r="L42" s="11">
        <f t="shared" si="6"/>
        <v>1500.7754006236555</v>
      </c>
      <c r="M42" s="11">
        <f t="shared" si="6"/>
        <v>1500.7754006236555</v>
      </c>
      <c r="N42" s="11">
        <f t="shared" si="6"/>
        <v>1500.7754006236555</v>
      </c>
      <c r="O42" s="11">
        <f t="shared" si="6"/>
        <v>1500.7754006236555</v>
      </c>
      <c r="P42" s="38"/>
      <c r="Q42" s="38"/>
      <c r="R42" s="38"/>
      <c r="S42" s="1"/>
    </row>
    <row r="43" spans="2:19">
      <c r="B43" s="3" t="s">
        <v>65</v>
      </c>
      <c r="C43" s="11">
        <f t="shared" si="4"/>
        <v>2001.0338674982074</v>
      </c>
      <c r="D43" s="11">
        <f t="shared" si="5"/>
        <v>2001.0338674982074</v>
      </c>
      <c r="E43" s="11">
        <f t="shared" ref="E43:O43" si="7">+(($H8*(1+$J8*E26))*($C8*(1+E26)))/1000000</f>
        <v>2001.0338674982074</v>
      </c>
      <c r="F43" s="11">
        <f t="shared" si="7"/>
        <v>2001.0338674982074</v>
      </c>
      <c r="G43" s="11">
        <f t="shared" si="7"/>
        <v>2001.0338674982074</v>
      </c>
      <c r="H43" s="11">
        <f t="shared" si="7"/>
        <v>2001.0338674982074</v>
      </c>
      <c r="I43" s="11">
        <f t="shared" si="7"/>
        <v>2001.0338674982074</v>
      </c>
      <c r="J43" s="11">
        <f t="shared" si="7"/>
        <v>2001.0338674982074</v>
      </c>
      <c r="K43" s="11">
        <f t="shared" si="7"/>
        <v>2001.0338674982074</v>
      </c>
      <c r="L43" s="11">
        <f t="shared" si="7"/>
        <v>2001.0338674982074</v>
      </c>
      <c r="M43" s="11">
        <f t="shared" si="7"/>
        <v>2001.0338674982074</v>
      </c>
      <c r="N43" s="11">
        <f t="shared" si="7"/>
        <v>2001.0338674982074</v>
      </c>
      <c r="O43" s="11">
        <f t="shared" si="7"/>
        <v>2001.0338674982074</v>
      </c>
      <c r="P43" s="38"/>
      <c r="Q43" s="38"/>
      <c r="R43" s="38"/>
      <c r="S43" s="1"/>
    </row>
    <row r="44" spans="2:19">
      <c r="B44" s="3" t="s">
        <v>66</v>
      </c>
      <c r="C44" s="11">
        <f t="shared" si="4"/>
        <v>1750.9046340609316</v>
      </c>
      <c r="D44" s="11">
        <f t="shared" si="5"/>
        <v>1750.9046340609316</v>
      </c>
      <c r="E44" s="11">
        <f t="shared" ref="E44:O44" si="8">+(($H9*(1+$J9*E27))*($C9*(1+E27)))/1000000</f>
        <v>1750.9046340609316</v>
      </c>
      <c r="F44" s="11">
        <f t="shared" si="8"/>
        <v>1750.9046340609316</v>
      </c>
      <c r="G44" s="11">
        <f t="shared" si="8"/>
        <v>1750.9046340609316</v>
      </c>
      <c r="H44" s="11">
        <f t="shared" si="8"/>
        <v>1750.9046340609316</v>
      </c>
      <c r="I44" s="11">
        <f t="shared" si="8"/>
        <v>1750.9046340609316</v>
      </c>
      <c r="J44" s="11">
        <f t="shared" si="8"/>
        <v>1750.9046340609316</v>
      </c>
      <c r="K44" s="11">
        <f t="shared" si="8"/>
        <v>1750.9046340609316</v>
      </c>
      <c r="L44" s="11">
        <f t="shared" si="8"/>
        <v>1750.9046340609316</v>
      </c>
      <c r="M44" s="11">
        <f t="shared" si="8"/>
        <v>1750.9046340609316</v>
      </c>
      <c r="N44" s="11">
        <f t="shared" si="8"/>
        <v>1750.9046340609316</v>
      </c>
      <c r="O44" s="11">
        <f t="shared" si="8"/>
        <v>1750.9046340609316</v>
      </c>
      <c r="P44" s="38"/>
      <c r="Q44" s="38"/>
      <c r="R44" s="38"/>
      <c r="S44" s="1"/>
    </row>
    <row r="45" spans="2:19">
      <c r="B45" s="3" t="s">
        <v>67</v>
      </c>
      <c r="C45" s="11">
        <f t="shared" si="4"/>
        <v>3751.9385015591392</v>
      </c>
      <c r="D45" s="11">
        <f t="shared" si="5"/>
        <v>3751.9385015591392</v>
      </c>
      <c r="E45" s="11">
        <f t="shared" ref="E45:O45" si="9">+(($H10*(1+$J10*E28))*($C10*(1+E28)))/1000000</f>
        <v>3751.9385015591392</v>
      </c>
      <c r="F45" s="11">
        <f t="shared" si="9"/>
        <v>3751.9385015591392</v>
      </c>
      <c r="G45" s="11">
        <f t="shared" si="9"/>
        <v>3751.9385015591392</v>
      </c>
      <c r="H45" s="11">
        <f t="shared" si="9"/>
        <v>3751.9385015591392</v>
      </c>
      <c r="I45" s="11">
        <f t="shared" si="9"/>
        <v>3751.9385015591392</v>
      </c>
      <c r="J45" s="11">
        <f t="shared" si="9"/>
        <v>3751.9385015591392</v>
      </c>
      <c r="K45" s="11">
        <f t="shared" si="9"/>
        <v>3751.9385015591392</v>
      </c>
      <c r="L45" s="11">
        <f t="shared" si="9"/>
        <v>3751.9385015591392</v>
      </c>
      <c r="M45" s="11">
        <f t="shared" si="9"/>
        <v>3751.9385015591392</v>
      </c>
      <c r="N45" s="11">
        <f t="shared" si="9"/>
        <v>3751.9385015591392</v>
      </c>
      <c r="O45" s="11">
        <f t="shared" si="9"/>
        <v>3751.9385015591392</v>
      </c>
      <c r="P45" s="38"/>
      <c r="Q45" s="38"/>
      <c r="R45" s="38"/>
      <c r="S45" s="1"/>
    </row>
    <row r="46" spans="2:19">
      <c r="B46" s="3" t="s">
        <v>68</v>
      </c>
      <c r="C46" s="11">
        <f t="shared" si="4"/>
        <v>1250.6461671863797</v>
      </c>
      <c r="D46" s="11">
        <f t="shared" si="5"/>
        <v>1250.6461671863797</v>
      </c>
      <c r="E46" s="11">
        <f t="shared" ref="E46:O46" si="10">+(($H11*(1+$J11*E29))*($C11*(1+E29)))/1000000</f>
        <v>1250.6461671863797</v>
      </c>
      <c r="F46" s="11">
        <f t="shared" si="10"/>
        <v>1250.6461671863797</v>
      </c>
      <c r="G46" s="11">
        <f t="shared" si="10"/>
        <v>1250.6461671863797</v>
      </c>
      <c r="H46" s="11">
        <f t="shared" si="10"/>
        <v>1250.6461671863797</v>
      </c>
      <c r="I46" s="11">
        <f t="shared" si="10"/>
        <v>1250.6461671863797</v>
      </c>
      <c r="J46" s="11">
        <f t="shared" si="10"/>
        <v>1250.6461671863797</v>
      </c>
      <c r="K46" s="11">
        <f t="shared" si="10"/>
        <v>1250.6461671863797</v>
      </c>
      <c r="L46" s="11">
        <f t="shared" si="10"/>
        <v>1250.6461671863797</v>
      </c>
      <c r="M46" s="11">
        <f t="shared" si="10"/>
        <v>1250.6461671863797</v>
      </c>
      <c r="N46" s="11">
        <f t="shared" si="10"/>
        <v>1250.6461671863797</v>
      </c>
      <c r="O46" s="11">
        <f t="shared" si="10"/>
        <v>1250.6461671863797</v>
      </c>
      <c r="P46" s="38"/>
      <c r="Q46" s="38"/>
      <c r="R46" s="38"/>
      <c r="S46" s="1"/>
    </row>
    <row r="47" spans="2:19">
      <c r="B47" s="3" t="s">
        <v>69</v>
      </c>
      <c r="C47" s="11">
        <f t="shared" si="4"/>
        <v>2251.1631009354833</v>
      </c>
      <c r="D47" s="11">
        <f t="shared" si="5"/>
        <v>2251.1631009354833</v>
      </c>
      <c r="E47" s="11">
        <f t="shared" ref="E47:O47" si="11">+(($H12*(1+$J12*E30))*($C12*(1+E30)))/1000000</f>
        <v>2251.1631009354833</v>
      </c>
      <c r="F47" s="11">
        <f t="shared" si="11"/>
        <v>2251.1631009354833</v>
      </c>
      <c r="G47" s="11">
        <f t="shared" si="11"/>
        <v>2251.1631009354833</v>
      </c>
      <c r="H47" s="11">
        <f t="shared" si="11"/>
        <v>2251.1631009354833</v>
      </c>
      <c r="I47" s="11">
        <f t="shared" si="11"/>
        <v>2251.1631009354833</v>
      </c>
      <c r="J47" s="11">
        <f t="shared" si="11"/>
        <v>2251.1631009354833</v>
      </c>
      <c r="K47" s="11">
        <f t="shared" si="11"/>
        <v>2251.1631009354833</v>
      </c>
      <c r="L47" s="11">
        <f t="shared" si="11"/>
        <v>2251.1631009354833</v>
      </c>
      <c r="M47" s="11">
        <f t="shared" si="11"/>
        <v>2251.1631009354833</v>
      </c>
      <c r="N47" s="11">
        <f t="shared" si="11"/>
        <v>2251.1631009354833</v>
      </c>
      <c r="O47" s="11">
        <f t="shared" si="11"/>
        <v>2251.1631009354833</v>
      </c>
      <c r="P47" s="38"/>
      <c r="Q47" s="38"/>
      <c r="R47" s="38"/>
      <c r="S47" s="1"/>
    </row>
    <row r="48" spans="2:19">
      <c r="B48" s="3" t="s">
        <v>70</v>
      </c>
      <c r="C48" s="11">
        <f t="shared" si="4"/>
        <v>1125.5815504677416</v>
      </c>
      <c r="D48" s="11">
        <f t="shared" si="5"/>
        <v>1125.5815504677416</v>
      </c>
      <c r="E48" s="11">
        <f t="shared" ref="E48:O48" si="12">+(($H13*(1+$J13*E31))*($C13*(1+E31)))/1000000</f>
        <v>1125.5815504677416</v>
      </c>
      <c r="F48" s="11">
        <f t="shared" si="12"/>
        <v>1125.5815504677416</v>
      </c>
      <c r="G48" s="11">
        <f t="shared" si="12"/>
        <v>1125.5815504677416</v>
      </c>
      <c r="H48" s="11">
        <f t="shared" si="12"/>
        <v>1125.5815504677416</v>
      </c>
      <c r="I48" s="11">
        <f t="shared" si="12"/>
        <v>1125.5815504677416</v>
      </c>
      <c r="J48" s="11">
        <f t="shared" si="12"/>
        <v>1125.5815504677416</v>
      </c>
      <c r="K48" s="11">
        <f t="shared" si="12"/>
        <v>1125.5815504677416</v>
      </c>
      <c r="L48" s="11">
        <f t="shared" si="12"/>
        <v>1125.5815504677416</v>
      </c>
      <c r="M48" s="11">
        <f t="shared" si="12"/>
        <v>1125.5815504677416</v>
      </c>
      <c r="N48" s="11">
        <f t="shared" si="12"/>
        <v>1125.5815504677416</v>
      </c>
      <c r="O48" s="11">
        <f t="shared" si="12"/>
        <v>1125.5815504677416</v>
      </c>
      <c r="P48" s="38"/>
      <c r="Q48" s="38"/>
      <c r="R48" s="38"/>
      <c r="S48" s="1"/>
    </row>
    <row r="49" spans="2:19">
      <c r="B49" s="3" t="s">
        <v>71</v>
      </c>
      <c r="C49" s="11">
        <f t="shared" si="4"/>
        <v>1375.7107839050177</v>
      </c>
      <c r="D49" s="11">
        <f t="shared" si="5"/>
        <v>1375.7107839050177</v>
      </c>
      <c r="E49" s="11">
        <f t="shared" ref="E49:O49" si="13">+(($H14*(1+$J14*E32))*($C14*(1+E32)))/1000000</f>
        <v>1375.7107839050177</v>
      </c>
      <c r="F49" s="11">
        <f t="shared" si="13"/>
        <v>1375.7107839050177</v>
      </c>
      <c r="G49" s="11">
        <f t="shared" si="13"/>
        <v>1375.7107839050177</v>
      </c>
      <c r="H49" s="11">
        <f t="shared" si="13"/>
        <v>1375.7107839050177</v>
      </c>
      <c r="I49" s="11">
        <f t="shared" si="13"/>
        <v>1375.7107839050177</v>
      </c>
      <c r="J49" s="11">
        <f t="shared" si="13"/>
        <v>1375.7107839050177</v>
      </c>
      <c r="K49" s="11">
        <f t="shared" si="13"/>
        <v>1375.7107839050177</v>
      </c>
      <c r="L49" s="11">
        <f t="shared" si="13"/>
        <v>1375.7107839050177</v>
      </c>
      <c r="M49" s="11">
        <f t="shared" si="13"/>
        <v>1375.7107839050177</v>
      </c>
      <c r="N49" s="11">
        <f t="shared" si="13"/>
        <v>1375.7107839050177</v>
      </c>
      <c r="O49" s="11">
        <f t="shared" si="13"/>
        <v>1375.7107839050177</v>
      </c>
      <c r="P49" s="38"/>
      <c r="Q49" s="38"/>
      <c r="R49" s="38"/>
      <c r="S49" s="1"/>
    </row>
    <row r="50" spans="2:19">
      <c r="B50" s="3" t="s">
        <v>72</v>
      </c>
      <c r="C50" s="11">
        <f t="shared" si="4"/>
        <v>1625.8400173422935</v>
      </c>
      <c r="D50" s="11">
        <f t="shared" si="5"/>
        <v>1625.8400173422935</v>
      </c>
      <c r="E50" s="11">
        <f t="shared" ref="E50:O50" si="14">+(($H15*(1+$J15*E33))*($C15*(1+E33)))/1000000</f>
        <v>1625.8400173422935</v>
      </c>
      <c r="F50" s="11">
        <f t="shared" si="14"/>
        <v>1625.8400173422935</v>
      </c>
      <c r="G50" s="11">
        <f t="shared" si="14"/>
        <v>1625.8400173422935</v>
      </c>
      <c r="H50" s="11">
        <f t="shared" si="14"/>
        <v>1625.8400173422935</v>
      </c>
      <c r="I50" s="11">
        <f t="shared" si="14"/>
        <v>1625.8400173422935</v>
      </c>
      <c r="J50" s="11">
        <f t="shared" si="14"/>
        <v>1625.8400173422935</v>
      </c>
      <c r="K50" s="11">
        <f t="shared" si="14"/>
        <v>1625.8400173422935</v>
      </c>
      <c r="L50" s="11">
        <f t="shared" si="14"/>
        <v>1625.8400173422935</v>
      </c>
      <c r="M50" s="11">
        <f t="shared" si="14"/>
        <v>1625.8400173422935</v>
      </c>
      <c r="N50" s="11">
        <f t="shared" si="14"/>
        <v>1625.8400173422935</v>
      </c>
      <c r="O50" s="11">
        <f t="shared" si="14"/>
        <v>1625.8400173422935</v>
      </c>
      <c r="P50" s="38"/>
      <c r="Q50" s="38"/>
      <c r="R50" s="38"/>
      <c r="S50" s="1"/>
    </row>
    <row r="51" spans="2:19">
      <c r="B51" s="3" t="s">
        <v>73</v>
      </c>
      <c r="C51" s="11">
        <f t="shared" si="4"/>
        <v>3361.2366389301142</v>
      </c>
      <c r="D51" s="11">
        <f t="shared" si="5"/>
        <v>3361.2366389301142</v>
      </c>
      <c r="E51" s="11">
        <f t="shared" ref="E51:O51" si="15">+(($H16*(1+$J16*E34))*($C16*(1+E34)))/1000000</f>
        <v>3361.2366389301142</v>
      </c>
      <c r="F51" s="11">
        <f t="shared" si="15"/>
        <v>3361.2366389301142</v>
      </c>
      <c r="G51" s="11">
        <f t="shared" si="15"/>
        <v>3361.2366389301142</v>
      </c>
      <c r="H51" s="11">
        <f t="shared" si="15"/>
        <v>3361.2366389301142</v>
      </c>
      <c r="I51" s="11">
        <f t="shared" si="15"/>
        <v>3361.2366389301142</v>
      </c>
      <c r="J51" s="11">
        <f t="shared" si="15"/>
        <v>3361.2366389301142</v>
      </c>
      <c r="K51" s="11">
        <f t="shared" si="15"/>
        <v>3361.2366389301142</v>
      </c>
      <c r="L51" s="11">
        <f t="shared" si="15"/>
        <v>3361.2366389301142</v>
      </c>
      <c r="M51" s="11">
        <f t="shared" si="15"/>
        <v>3361.2366389301142</v>
      </c>
      <c r="N51" s="11">
        <f t="shared" si="15"/>
        <v>3361.2366389301142</v>
      </c>
      <c r="O51" s="11">
        <f t="shared" si="15"/>
        <v>3361.2366389301142</v>
      </c>
      <c r="P51" s="38"/>
      <c r="Q51" s="38"/>
      <c r="R51" s="38"/>
      <c r="S51" s="1"/>
    </row>
    <row r="52" spans="2:19">
      <c r="B52" s="1"/>
      <c r="C52" s="1"/>
      <c r="D52" s="1"/>
      <c r="E52" s="1"/>
      <c r="F52" s="1"/>
      <c r="G52" s="38"/>
      <c r="H52" s="38"/>
      <c r="I52" s="38"/>
      <c r="J52" s="1"/>
      <c r="K52" s="1"/>
      <c r="L52" s="1"/>
      <c r="M52" s="1"/>
      <c r="N52" s="1"/>
      <c r="O52" s="38"/>
      <c r="P52" s="38"/>
      <c r="Q52" s="38"/>
      <c r="R52" s="38"/>
      <c r="S52" s="1"/>
    </row>
    <row r="53" spans="2:19" s="47" customFormat="1">
      <c r="B53" s="43" t="s">
        <v>82</v>
      </c>
      <c r="C53" s="42">
        <f t="shared" ref="C53" si="16">SUM(C41:C51)</f>
        <v>29999.734662508959</v>
      </c>
      <c r="D53" s="42">
        <f t="shared" ref="D53:O53" si="17">SUM(D41:D51)</f>
        <v>29999.734662508959</v>
      </c>
      <c r="E53" s="42">
        <f t="shared" si="17"/>
        <v>29999.734662508959</v>
      </c>
      <c r="F53" s="42">
        <f t="shared" si="17"/>
        <v>29999.734662508959</v>
      </c>
      <c r="G53" s="42">
        <f t="shared" si="17"/>
        <v>29999.734662508959</v>
      </c>
      <c r="H53" s="42">
        <f t="shared" si="17"/>
        <v>29999.734662508959</v>
      </c>
      <c r="I53" s="42">
        <f t="shared" si="17"/>
        <v>29999.734662508959</v>
      </c>
      <c r="J53" s="42">
        <f t="shared" si="17"/>
        <v>29999.734662508959</v>
      </c>
      <c r="K53" s="42">
        <f t="shared" si="17"/>
        <v>29999.734662508959</v>
      </c>
      <c r="L53" s="42">
        <f t="shared" si="17"/>
        <v>29999.734662508959</v>
      </c>
      <c r="M53" s="42">
        <f t="shared" si="17"/>
        <v>29999.734662508959</v>
      </c>
      <c r="N53" s="42">
        <f t="shared" si="17"/>
        <v>29999.734662508959</v>
      </c>
      <c r="O53" s="42">
        <f t="shared" si="17"/>
        <v>29999.734662508959</v>
      </c>
      <c r="P53" s="73"/>
      <c r="Q53" s="73"/>
      <c r="R53" s="73"/>
      <c r="S53" s="45"/>
    </row>
    <row r="54" spans="2:19">
      <c r="B54" s="1"/>
      <c r="C54" s="1"/>
      <c r="D54" s="1"/>
      <c r="E54" s="1"/>
      <c r="F54" s="1"/>
      <c r="G54" s="38"/>
      <c r="H54" s="38"/>
      <c r="I54" s="38"/>
      <c r="J54" s="1"/>
      <c r="K54" s="1"/>
      <c r="L54" s="1"/>
      <c r="M54" s="1"/>
      <c r="N54" s="1"/>
      <c r="O54" s="38"/>
      <c r="P54" s="38"/>
      <c r="Q54" s="38"/>
      <c r="R54" s="38"/>
      <c r="S54" s="1"/>
    </row>
    <row r="55" spans="2:19" ht="15.9">
      <c r="B55" s="68" t="s">
        <v>239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38"/>
      <c r="Q55" s="38"/>
      <c r="R55" s="38"/>
      <c r="S55" s="1"/>
    </row>
    <row r="56" spans="2:19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38"/>
      <c r="Q56" s="38"/>
      <c r="R56" s="38"/>
      <c r="S56" s="1"/>
    </row>
    <row r="57" spans="2:19">
      <c r="B57" s="25" t="s">
        <v>59</v>
      </c>
      <c r="C57" s="2" t="s">
        <v>38</v>
      </c>
      <c r="D57" s="2" t="s">
        <v>9</v>
      </c>
      <c r="E57" s="2" t="s">
        <v>39</v>
      </c>
      <c r="F57" s="2" t="s">
        <v>40</v>
      </c>
      <c r="G57" s="2" t="s">
        <v>41</v>
      </c>
      <c r="H57" s="2" t="s">
        <v>42</v>
      </c>
      <c r="I57" s="2" t="s">
        <v>43</v>
      </c>
      <c r="J57" s="2" t="s">
        <v>44</v>
      </c>
      <c r="K57" s="2" t="s">
        <v>45</v>
      </c>
      <c r="L57" s="2" t="s">
        <v>46</v>
      </c>
      <c r="M57" s="2" t="s">
        <v>47</v>
      </c>
      <c r="N57" s="2" t="s">
        <v>48</v>
      </c>
      <c r="O57" s="2" t="s">
        <v>49</v>
      </c>
      <c r="P57" s="38"/>
      <c r="Q57" s="38"/>
      <c r="R57" s="38"/>
      <c r="S57" s="1"/>
    </row>
    <row r="58" spans="2:19">
      <c r="B58" s="3" t="s">
        <v>236</v>
      </c>
      <c r="C58" s="11">
        <f t="shared" ref="C58:O58" si="18">+(($H6*(1+$J6*C24))*($C6*(1+C24)-$D6))/1000000</f>
        <v>2747.3040000000001</v>
      </c>
      <c r="D58" s="11">
        <f t="shared" si="18"/>
        <v>2747.3040000000001</v>
      </c>
      <c r="E58" s="11">
        <f t="shared" si="18"/>
        <v>2747.3040000000001</v>
      </c>
      <c r="F58" s="11">
        <f t="shared" si="18"/>
        <v>2747.3040000000001</v>
      </c>
      <c r="G58" s="11">
        <f t="shared" si="18"/>
        <v>2747.3040000000001</v>
      </c>
      <c r="H58" s="11">
        <f t="shared" si="18"/>
        <v>2747.3040000000001</v>
      </c>
      <c r="I58" s="11">
        <f t="shared" si="18"/>
        <v>2747.3040000000001</v>
      </c>
      <c r="J58" s="11">
        <f t="shared" si="18"/>
        <v>2747.3040000000001</v>
      </c>
      <c r="K58" s="11">
        <f t="shared" si="18"/>
        <v>2747.3040000000001</v>
      </c>
      <c r="L58" s="11">
        <f t="shared" si="18"/>
        <v>2747.3040000000001</v>
      </c>
      <c r="M58" s="11">
        <f t="shared" si="18"/>
        <v>2747.3040000000001</v>
      </c>
      <c r="N58" s="11">
        <f t="shared" si="18"/>
        <v>2747.3040000000001</v>
      </c>
      <c r="O58" s="11">
        <f t="shared" si="18"/>
        <v>2747.3040000000001</v>
      </c>
      <c r="P58" s="38"/>
      <c r="Q58" s="38"/>
      <c r="R58" s="38"/>
      <c r="S58" s="1"/>
    </row>
    <row r="59" spans="2:19">
      <c r="B59" s="3" t="s">
        <v>64</v>
      </c>
      <c r="C59" s="11">
        <f t="shared" ref="C59:O59" si="19">+(($H7*(1+$J7*C25))*($C7*(1+C25)-$D7))/1000000</f>
        <v>480.24812819956986</v>
      </c>
      <c r="D59" s="11">
        <f t="shared" si="19"/>
        <v>480.24812819956986</v>
      </c>
      <c r="E59" s="11">
        <f t="shared" si="19"/>
        <v>480.24812819956986</v>
      </c>
      <c r="F59" s="11">
        <f t="shared" si="19"/>
        <v>480.24812819956986</v>
      </c>
      <c r="G59" s="11">
        <f t="shared" si="19"/>
        <v>480.24812819956986</v>
      </c>
      <c r="H59" s="11">
        <f t="shared" si="19"/>
        <v>480.24812819956986</v>
      </c>
      <c r="I59" s="11">
        <f t="shared" si="19"/>
        <v>480.24812819956986</v>
      </c>
      <c r="J59" s="11">
        <f t="shared" si="19"/>
        <v>480.24812819956986</v>
      </c>
      <c r="K59" s="11">
        <f t="shared" si="19"/>
        <v>480.24812819956986</v>
      </c>
      <c r="L59" s="11">
        <f t="shared" si="19"/>
        <v>480.24812819956986</v>
      </c>
      <c r="M59" s="11">
        <f t="shared" si="19"/>
        <v>480.24812819956986</v>
      </c>
      <c r="N59" s="11">
        <f t="shared" si="19"/>
        <v>480.24812819956986</v>
      </c>
      <c r="O59" s="11">
        <f t="shared" si="19"/>
        <v>480.24812819956986</v>
      </c>
      <c r="P59" s="38"/>
      <c r="Q59" s="38"/>
      <c r="R59" s="38"/>
      <c r="S59" s="1"/>
    </row>
    <row r="60" spans="2:19">
      <c r="B60" s="3" t="s">
        <v>65</v>
      </c>
      <c r="C60" s="11">
        <f t="shared" ref="C60:O60" si="20">+(($H8*(1+$J8*C26))*($C8*(1+C26)-$D8))/1000000</f>
        <v>700.36185362437243</v>
      </c>
      <c r="D60" s="11">
        <f t="shared" si="20"/>
        <v>700.36185362437243</v>
      </c>
      <c r="E60" s="11">
        <f t="shared" si="20"/>
        <v>700.36185362437243</v>
      </c>
      <c r="F60" s="11">
        <f t="shared" si="20"/>
        <v>700.36185362437243</v>
      </c>
      <c r="G60" s="11">
        <f t="shared" si="20"/>
        <v>700.36185362437243</v>
      </c>
      <c r="H60" s="11">
        <f t="shared" si="20"/>
        <v>700.36185362437243</v>
      </c>
      <c r="I60" s="11">
        <f t="shared" si="20"/>
        <v>700.36185362437243</v>
      </c>
      <c r="J60" s="11">
        <f t="shared" si="20"/>
        <v>700.36185362437243</v>
      </c>
      <c r="K60" s="11">
        <f t="shared" si="20"/>
        <v>700.36185362437243</v>
      </c>
      <c r="L60" s="11">
        <f t="shared" si="20"/>
        <v>700.36185362437243</v>
      </c>
      <c r="M60" s="11">
        <f t="shared" si="20"/>
        <v>700.36185362437243</v>
      </c>
      <c r="N60" s="11">
        <f t="shared" si="20"/>
        <v>700.36185362437243</v>
      </c>
      <c r="O60" s="11">
        <f t="shared" si="20"/>
        <v>700.36185362437243</v>
      </c>
      <c r="P60" s="38"/>
      <c r="Q60" s="38"/>
      <c r="R60" s="38"/>
      <c r="S60" s="1"/>
    </row>
    <row r="61" spans="2:19">
      <c r="B61" s="3" t="s">
        <v>66</v>
      </c>
      <c r="C61" s="11">
        <f t="shared" ref="C61:O61" si="21">+(($H9*(1+$J9*C27))*($C9*(1+C27)-$D9))/1000000</f>
        <v>665.34376094315405</v>
      </c>
      <c r="D61" s="11">
        <f t="shared" si="21"/>
        <v>665.34376094315405</v>
      </c>
      <c r="E61" s="11">
        <f t="shared" si="21"/>
        <v>665.34376094315405</v>
      </c>
      <c r="F61" s="11">
        <f t="shared" si="21"/>
        <v>665.34376094315405</v>
      </c>
      <c r="G61" s="11">
        <f t="shared" si="21"/>
        <v>665.34376094315405</v>
      </c>
      <c r="H61" s="11">
        <f t="shared" si="21"/>
        <v>665.34376094315405</v>
      </c>
      <c r="I61" s="11">
        <f t="shared" si="21"/>
        <v>665.34376094315405</v>
      </c>
      <c r="J61" s="11">
        <f t="shared" si="21"/>
        <v>665.34376094315405</v>
      </c>
      <c r="K61" s="11">
        <f t="shared" si="21"/>
        <v>665.34376094315405</v>
      </c>
      <c r="L61" s="11">
        <f t="shared" si="21"/>
        <v>665.34376094315405</v>
      </c>
      <c r="M61" s="11">
        <f t="shared" si="21"/>
        <v>665.34376094315405</v>
      </c>
      <c r="N61" s="11">
        <f t="shared" si="21"/>
        <v>665.34376094315405</v>
      </c>
      <c r="O61" s="11">
        <f t="shared" si="21"/>
        <v>665.34376094315405</v>
      </c>
      <c r="P61" s="38"/>
      <c r="Q61" s="38"/>
      <c r="R61" s="38"/>
      <c r="S61" s="1"/>
    </row>
    <row r="62" spans="2:19">
      <c r="B62" s="3" t="s">
        <v>67</v>
      </c>
      <c r="C62" s="11">
        <f t="shared" ref="C62:O62" si="22">+(($H10*(1+$J10*C28))*($C10*(1+C28)-$D10))/1000000</f>
        <v>1275.6590905301077</v>
      </c>
      <c r="D62" s="11">
        <f t="shared" si="22"/>
        <v>1275.6590905301077</v>
      </c>
      <c r="E62" s="11">
        <f t="shared" si="22"/>
        <v>1275.6590905301077</v>
      </c>
      <c r="F62" s="11">
        <f t="shared" si="22"/>
        <v>1275.6590905301077</v>
      </c>
      <c r="G62" s="11">
        <f t="shared" si="22"/>
        <v>1275.6590905301077</v>
      </c>
      <c r="H62" s="11">
        <f t="shared" si="22"/>
        <v>1275.6590905301077</v>
      </c>
      <c r="I62" s="11">
        <f t="shared" si="22"/>
        <v>1275.6590905301077</v>
      </c>
      <c r="J62" s="11">
        <f t="shared" si="22"/>
        <v>1275.6590905301077</v>
      </c>
      <c r="K62" s="11">
        <f t="shared" si="22"/>
        <v>1275.6590905301077</v>
      </c>
      <c r="L62" s="11">
        <f t="shared" si="22"/>
        <v>1275.6590905301077</v>
      </c>
      <c r="M62" s="11">
        <f t="shared" si="22"/>
        <v>1275.6590905301077</v>
      </c>
      <c r="N62" s="11">
        <f t="shared" si="22"/>
        <v>1275.6590905301077</v>
      </c>
      <c r="O62" s="11">
        <f t="shared" si="22"/>
        <v>1275.6590905301077</v>
      </c>
    </row>
    <row r="63" spans="2:19">
      <c r="B63" s="3" t="s">
        <v>68</v>
      </c>
      <c r="C63" s="11">
        <f t="shared" ref="C63:O63" si="23">+(($H11*(1+$J11*C29))*($C11*(1+C29)-$D11))/1000000</f>
        <v>387.7003118277778</v>
      </c>
      <c r="D63" s="11">
        <f t="shared" si="23"/>
        <v>387.7003118277778</v>
      </c>
      <c r="E63" s="11">
        <f t="shared" si="23"/>
        <v>387.7003118277778</v>
      </c>
      <c r="F63" s="11">
        <f t="shared" si="23"/>
        <v>387.7003118277778</v>
      </c>
      <c r="G63" s="11">
        <f t="shared" si="23"/>
        <v>387.7003118277778</v>
      </c>
      <c r="H63" s="11">
        <f t="shared" si="23"/>
        <v>387.7003118277778</v>
      </c>
      <c r="I63" s="11">
        <f t="shared" si="23"/>
        <v>387.7003118277778</v>
      </c>
      <c r="J63" s="11">
        <f t="shared" si="23"/>
        <v>387.7003118277778</v>
      </c>
      <c r="K63" s="11">
        <f t="shared" si="23"/>
        <v>387.7003118277778</v>
      </c>
      <c r="L63" s="11">
        <f t="shared" si="23"/>
        <v>387.7003118277778</v>
      </c>
      <c r="M63" s="11">
        <f t="shared" si="23"/>
        <v>387.7003118277778</v>
      </c>
      <c r="N63" s="11">
        <f t="shared" si="23"/>
        <v>387.7003118277778</v>
      </c>
      <c r="O63" s="11">
        <f t="shared" si="23"/>
        <v>387.7003118277778</v>
      </c>
    </row>
    <row r="64" spans="2:19">
      <c r="B64" s="3" t="s">
        <v>69</v>
      </c>
      <c r="C64" s="11">
        <f t="shared" ref="C64:O64" si="24">+(($H12*(1+$J12*C30))*($C12*(1+C30)-$D12))/1000000</f>
        <v>945.48850239290277</v>
      </c>
      <c r="D64" s="11">
        <f t="shared" si="24"/>
        <v>945.48850239290277</v>
      </c>
      <c r="E64" s="11">
        <f t="shared" si="24"/>
        <v>945.48850239290277</v>
      </c>
      <c r="F64" s="11">
        <f t="shared" si="24"/>
        <v>945.48850239290277</v>
      </c>
      <c r="G64" s="11">
        <f t="shared" si="24"/>
        <v>945.48850239290277</v>
      </c>
      <c r="H64" s="11">
        <f t="shared" si="24"/>
        <v>945.48850239290277</v>
      </c>
      <c r="I64" s="11">
        <f t="shared" si="24"/>
        <v>945.48850239290277</v>
      </c>
      <c r="J64" s="11">
        <f t="shared" si="24"/>
        <v>945.48850239290277</v>
      </c>
      <c r="K64" s="11">
        <f t="shared" si="24"/>
        <v>945.48850239290277</v>
      </c>
      <c r="L64" s="11">
        <f t="shared" si="24"/>
        <v>945.48850239290277</v>
      </c>
      <c r="M64" s="11">
        <f t="shared" si="24"/>
        <v>945.48850239290277</v>
      </c>
      <c r="N64" s="11">
        <f t="shared" si="24"/>
        <v>945.48850239290277</v>
      </c>
      <c r="O64" s="11">
        <f t="shared" si="24"/>
        <v>945.48850239290277</v>
      </c>
    </row>
    <row r="65" spans="2:18">
      <c r="B65" s="3" t="s">
        <v>70</v>
      </c>
      <c r="C65" s="11">
        <f t="shared" ref="C65:O65" si="25">+(($H13*(1+$J13*C31))*($C13*(1+C31)-$D13))/1000000</f>
        <v>371.4419116543549</v>
      </c>
      <c r="D65" s="11">
        <f t="shared" si="25"/>
        <v>371.4419116543549</v>
      </c>
      <c r="E65" s="11">
        <f t="shared" si="25"/>
        <v>371.4419116543549</v>
      </c>
      <c r="F65" s="11">
        <f t="shared" si="25"/>
        <v>371.4419116543549</v>
      </c>
      <c r="G65" s="11">
        <f t="shared" si="25"/>
        <v>371.4419116543549</v>
      </c>
      <c r="H65" s="11">
        <f t="shared" si="25"/>
        <v>371.4419116543549</v>
      </c>
      <c r="I65" s="11">
        <f t="shared" si="25"/>
        <v>371.4419116543549</v>
      </c>
      <c r="J65" s="11">
        <f t="shared" si="25"/>
        <v>371.4419116543549</v>
      </c>
      <c r="K65" s="11">
        <f t="shared" si="25"/>
        <v>371.4419116543549</v>
      </c>
      <c r="L65" s="11">
        <f t="shared" si="25"/>
        <v>371.4419116543549</v>
      </c>
      <c r="M65" s="11">
        <f t="shared" si="25"/>
        <v>371.4419116543549</v>
      </c>
      <c r="N65" s="11">
        <f t="shared" si="25"/>
        <v>371.4419116543549</v>
      </c>
      <c r="O65" s="11">
        <f t="shared" si="25"/>
        <v>371.4419116543549</v>
      </c>
    </row>
    <row r="66" spans="2:18">
      <c r="B66" s="3" t="s">
        <v>71</v>
      </c>
      <c r="C66" s="11">
        <f t="shared" ref="C66:O66" si="26">+(($H14*(1+$J14*C32))*($C14*(1+C32)-$D14))/1000000</f>
        <v>495.25588220580636</v>
      </c>
      <c r="D66" s="11">
        <f t="shared" si="26"/>
        <v>495.25588220580636</v>
      </c>
      <c r="E66" s="11">
        <f t="shared" si="26"/>
        <v>495.25588220580636</v>
      </c>
      <c r="F66" s="11">
        <f t="shared" si="26"/>
        <v>495.25588220580636</v>
      </c>
      <c r="G66" s="11">
        <f t="shared" si="26"/>
        <v>495.25588220580636</v>
      </c>
      <c r="H66" s="11">
        <f t="shared" si="26"/>
        <v>495.25588220580636</v>
      </c>
      <c r="I66" s="11">
        <f t="shared" si="26"/>
        <v>495.25588220580636</v>
      </c>
      <c r="J66" s="11">
        <f t="shared" si="26"/>
        <v>495.25588220580636</v>
      </c>
      <c r="K66" s="11">
        <f t="shared" si="26"/>
        <v>495.25588220580636</v>
      </c>
      <c r="L66" s="11">
        <f t="shared" si="26"/>
        <v>495.25588220580636</v>
      </c>
      <c r="M66" s="11">
        <f t="shared" si="26"/>
        <v>495.25588220580636</v>
      </c>
      <c r="N66" s="11">
        <f t="shared" si="26"/>
        <v>495.25588220580636</v>
      </c>
      <c r="O66" s="11">
        <f t="shared" si="26"/>
        <v>495.25588220580636</v>
      </c>
    </row>
    <row r="67" spans="2:18">
      <c r="B67" s="3" t="s">
        <v>72</v>
      </c>
      <c r="C67" s="11">
        <f t="shared" ref="C67:O67" si="27">+(($H15*(1+$J15*C33))*($C15*(1+C33)-$D15))/1000000</f>
        <v>569.04400606980278</v>
      </c>
      <c r="D67" s="11">
        <f t="shared" si="27"/>
        <v>569.04400606980278</v>
      </c>
      <c r="E67" s="11">
        <f t="shared" si="27"/>
        <v>569.04400606980278</v>
      </c>
      <c r="F67" s="11">
        <f t="shared" si="27"/>
        <v>569.04400606980278</v>
      </c>
      <c r="G67" s="11">
        <f t="shared" si="27"/>
        <v>569.04400606980278</v>
      </c>
      <c r="H67" s="11">
        <f t="shared" si="27"/>
        <v>569.04400606980278</v>
      </c>
      <c r="I67" s="11">
        <f t="shared" si="27"/>
        <v>569.04400606980278</v>
      </c>
      <c r="J67" s="11">
        <f t="shared" si="27"/>
        <v>569.04400606980278</v>
      </c>
      <c r="K67" s="11">
        <f t="shared" si="27"/>
        <v>569.04400606980278</v>
      </c>
      <c r="L67" s="11">
        <f t="shared" si="27"/>
        <v>569.04400606980278</v>
      </c>
      <c r="M67" s="11">
        <f t="shared" si="27"/>
        <v>569.04400606980278</v>
      </c>
      <c r="N67" s="11">
        <f t="shared" si="27"/>
        <v>569.04400606980278</v>
      </c>
      <c r="O67" s="11">
        <f t="shared" si="27"/>
        <v>569.04400606980278</v>
      </c>
    </row>
    <row r="68" spans="2:18">
      <c r="B68" s="3" t="s">
        <v>73</v>
      </c>
      <c r="C68" s="11">
        <f t="shared" ref="C68:O68" si="28">+(($H16*(1+$J16*C34))*($C16*(1+C34)-$D16))/1000000</f>
        <v>1613.3935866864547</v>
      </c>
      <c r="D68" s="11">
        <f t="shared" si="28"/>
        <v>1613.3935866864547</v>
      </c>
      <c r="E68" s="11">
        <f t="shared" si="28"/>
        <v>1613.3935866864547</v>
      </c>
      <c r="F68" s="11">
        <f t="shared" si="28"/>
        <v>1613.3935866864547</v>
      </c>
      <c r="G68" s="11">
        <f t="shared" si="28"/>
        <v>1613.3935866864547</v>
      </c>
      <c r="H68" s="11">
        <f t="shared" si="28"/>
        <v>1613.3935866864547</v>
      </c>
      <c r="I68" s="11">
        <f t="shared" si="28"/>
        <v>1613.3935866864547</v>
      </c>
      <c r="J68" s="11">
        <f t="shared" si="28"/>
        <v>1613.3935866864547</v>
      </c>
      <c r="K68" s="11">
        <f t="shared" si="28"/>
        <v>1613.3935866864547</v>
      </c>
      <c r="L68" s="11">
        <f t="shared" si="28"/>
        <v>1613.3935866864547</v>
      </c>
      <c r="M68" s="11">
        <f t="shared" si="28"/>
        <v>1613.3935866864547</v>
      </c>
      <c r="N68" s="11">
        <f t="shared" si="28"/>
        <v>1613.3935866864547</v>
      </c>
      <c r="O68" s="11">
        <f t="shared" si="28"/>
        <v>1613.3935866864547</v>
      </c>
    </row>
    <row r="69" spans="2:18">
      <c r="B69" s="1"/>
      <c r="C69" s="1"/>
      <c r="D69" s="1"/>
      <c r="E69" s="1"/>
      <c r="F69" s="1"/>
      <c r="G69" s="38"/>
      <c r="H69" s="38"/>
      <c r="I69" s="38"/>
      <c r="J69" s="1"/>
      <c r="K69" s="1"/>
      <c r="L69" s="1"/>
      <c r="M69" s="1"/>
      <c r="N69" s="1"/>
      <c r="O69" s="38"/>
    </row>
    <row r="70" spans="2:18" s="47" customFormat="1">
      <c r="B70" s="43" t="s">
        <v>82</v>
      </c>
      <c r="C70" s="42">
        <f t="shared" ref="C70" si="29">SUM(C58:C68)</f>
        <v>10251.241034134302</v>
      </c>
      <c r="D70" s="42">
        <f t="shared" ref="D70:O70" si="30">SUM(D58:D68)</f>
        <v>10251.241034134302</v>
      </c>
      <c r="E70" s="42">
        <f t="shared" si="30"/>
        <v>10251.241034134302</v>
      </c>
      <c r="F70" s="42">
        <f t="shared" si="30"/>
        <v>10251.241034134302</v>
      </c>
      <c r="G70" s="42">
        <f t="shared" si="30"/>
        <v>10251.241034134302</v>
      </c>
      <c r="H70" s="42">
        <f t="shared" si="30"/>
        <v>10251.241034134302</v>
      </c>
      <c r="I70" s="42">
        <f t="shared" si="30"/>
        <v>10251.241034134302</v>
      </c>
      <c r="J70" s="42">
        <f t="shared" si="30"/>
        <v>10251.241034134302</v>
      </c>
      <c r="K70" s="42">
        <f t="shared" si="30"/>
        <v>10251.241034134302</v>
      </c>
      <c r="L70" s="42">
        <f t="shared" si="30"/>
        <v>10251.241034134302</v>
      </c>
      <c r="M70" s="42">
        <f t="shared" si="30"/>
        <v>10251.241034134302</v>
      </c>
      <c r="N70" s="42">
        <f t="shared" si="30"/>
        <v>10251.241034134302</v>
      </c>
      <c r="O70" s="42">
        <f t="shared" si="30"/>
        <v>10251.241034134302</v>
      </c>
      <c r="P70" s="72"/>
      <c r="Q70" s="72"/>
      <c r="R70" s="72"/>
    </row>
    <row r="71" spans="2:18">
      <c r="B71" s="61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</row>
    <row r="72" spans="2:18" ht="15.9">
      <c r="B72" s="68" t="s">
        <v>240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2:18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2:18">
      <c r="B74" s="25" t="s">
        <v>59</v>
      </c>
      <c r="C74" s="2" t="s">
        <v>38</v>
      </c>
      <c r="D74" s="2" t="s">
        <v>9</v>
      </c>
      <c r="E74" s="2" t="s">
        <v>39</v>
      </c>
      <c r="F74" s="2" t="s">
        <v>40</v>
      </c>
      <c r="G74" s="2" t="s">
        <v>41</v>
      </c>
      <c r="H74" s="2" t="s">
        <v>42</v>
      </c>
      <c r="I74" s="2" t="s">
        <v>43</v>
      </c>
      <c r="J74" s="2" t="s">
        <v>44</v>
      </c>
      <c r="K74" s="2" t="s">
        <v>45</v>
      </c>
      <c r="L74" s="2" t="s">
        <v>46</v>
      </c>
      <c r="M74" s="2" t="s">
        <v>47</v>
      </c>
      <c r="N74" s="2" t="s">
        <v>48</v>
      </c>
      <c r="O74" s="2" t="s">
        <v>49</v>
      </c>
    </row>
    <row r="75" spans="2:18">
      <c r="B75" s="3" t="s">
        <v>236</v>
      </c>
      <c r="C75" s="70">
        <f>+C58/C41</f>
        <v>0.2745957382499622</v>
      </c>
      <c r="D75" s="70">
        <f>+D58/D41</f>
        <v>0.2745957382499622</v>
      </c>
      <c r="E75" s="70">
        <f t="shared" ref="E75:O75" si="31">+E58/E41</f>
        <v>0.2745957382499622</v>
      </c>
      <c r="F75" s="70">
        <f t="shared" si="31"/>
        <v>0.2745957382499622</v>
      </c>
      <c r="G75" s="70">
        <f t="shared" si="31"/>
        <v>0.2745957382499622</v>
      </c>
      <c r="H75" s="70">
        <f t="shared" si="31"/>
        <v>0.2745957382499622</v>
      </c>
      <c r="I75" s="70">
        <f t="shared" si="31"/>
        <v>0.2745957382499622</v>
      </c>
      <c r="J75" s="70">
        <f t="shared" si="31"/>
        <v>0.2745957382499622</v>
      </c>
      <c r="K75" s="70">
        <f t="shared" si="31"/>
        <v>0.2745957382499622</v>
      </c>
      <c r="L75" s="70">
        <f t="shared" si="31"/>
        <v>0.2745957382499622</v>
      </c>
      <c r="M75" s="70">
        <f t="shared" si="31"/>
        <v>0.2745957382499622</v>
      </c>
      <c r="N75" s="70">
        <f t="shared" si="31"/>
        <v>0.2745957382499622</v>
      </c>
      <c r="O75" s="70">
        <f t="shared" si="31"/>
        <v>0.2745957382499622</v>
      </c>
    </row>
    <row r="76" spans="2:18">
      <c r="B76" s="3" t="s">
        <v>64</v>
      </c>
      <c r="C76" s="70">
        <f t="shared" ref="C76" si="32">+C59/C42</f>
        <v>0.32000000000000006</v>
      </c>
      <c r="D76" s="70">
        <f t="shared" ref="D76:O76" si="33">+D59/D42</f>
        <v>0.32000000000000006</v>
      </c>
      <c r="E76" s="70">
        <f t="shared" si="33"/>
        <v>0.32000000000000006</v>
      </c>
      <c r="F76" s="70">
        <f t="shared" si="33"/>
        <v>0.32000000000000006</v>
      </c>
      <c r="G76" s="70">
        <f t="shared" si="33"/>
        <v>0.32000000000000006</v>
      </c>
      <c r="H76" s="70">
        <f t="shared" si="33"/>
        <v>0.32000000000000006</v>
      </c>
      <c r="I76" s="70">
        <f t="shared" si="33"/>
        <v>0.32000000000000006</v>
      </c>
      <c r="J76" s="70">
        <f t="shared" si="33"/>
        <v>0.32000000000000006</v>
      </c>
      <c r="K76" s="70">
        <f t="shared" si="33"/>
        <v>0.32000000000000006</v>
      </c>
      <c r="L76" s="70">
        <f t="shared" si="33"/>
        <v>0.32000000000000006</v>
      </c>
      <c r="M76" s="70">
        <f t="shared" si="33"/>
        <v>0.32000000000000006</v>
      </c>
      <c r="N76" s="70">
        <f t="shared" si="33"/>
        <v>0.32000000000000006</v>
      </c>
      <c r="O76" s="70">
        <f t="shared" si="33"/>
        <v>0.32000000000000006</v>
      </c>
    </row>
    <row r="77" spans="2:18">
      <c r="B77" s="3" t="s">
        <v>65</v>
      </c>
      <c r="C77" s="70">
        <f t="shared" ref="C77" si="34">+C60/C43</f>
        <v>0.34999999999999992</v>
      </c>
      <c r="D77" s="70">
        <f t="shared" ref="D77:O77" si="35">+D60/D43</f>
        <v>0.34999999999999992</v>
      </c>
      <c r="E77" s="70">
        <f t="shared" si="35"/>
        <v>0.34999999999999992</v>
      </c>
      <c r="F77" s="70">
        <f t="shared" si="35"/>
        <v>0.34999999999999992</v>
      </c>
      <c r="G77" s="70">
        <f t="shared" si="35"/>
        <v>0.34999999999999992</v>
      </c>
      <c r="H77" s="70">
        <f t="shared" si="35"/>
        <v>0.34999999999999992</v>
      </c>
      <c r="I77" s="70">
        <f t="shared" si="35"/>
        <v>0.34999999999999992</v>
      </c>
      <c r="J77" s="70">
        <f t="shared" si="35"/>
        <v>0.34999999999999992</v>
      </c>
      <c r="K77" s="70">
        <f t="shared" si="35"/>
        <v>0.34999999999999992</v>
      </c>
      <c r="L77" s="70">
        <f t="shared" si="35"/>
        <v>0.34999999999999992</v>
      </c>
      <c r="M77" s="70">
        <f t="shared" si="35"/>
        <v>0.34999999999999992</v>
      </c>
      <c r="N77" s="70">
        <f t="shared" si="35"/>
        <v>0.34999999999999992</v>
      </c>
      <c r="O77" s="70">
        <f t="shared" si="35"/>
        <v>0.34999999999999992</v>
      </c>
    </row>
    <row r="78" spans="2:18">
      <c r="B78" s="3" t="s">
        <v>66</v>
      </c>
      <c r="C78" s="70">
        <f t="shared" ref="C78" si="36">+C61/C44</f>
        <v>0.38</v>
      </c>
      <c r="D78" s="70">
        <f t="shared" ref="D78:O78" si="37">+D61/D44</f>
        <v>0.38</v>
      </c>
      <c r="E78" s="70">
        <f t="shared" si="37"/>
        <v>0.38</v>
      </c>
      <c r="F78" s="70">
        <f t="shared" si="37"/>
        <v>0.38</v>
      </c>
      <c r="G78" s="70">
        <f t="shared" si="37"/>
        <v>0.38</v>
      </c>
      <c r="H78" s="70">
        <f t="shared" si="37"/>
        <v>0.38</v>
      </c>
      <c r="I78" s="70">
        <f t="shared" si="37"/>
        <v>0.38</v>
      </c>
      <c r="J78" s="70">
        <f t="shared" si="37"/>
        <v>0.38</v>
      </c>
      <c r="K78" s="70">
        <f t="shared" si="37"/>
        <v>0.38</v>
      </c>
      <c r="L78" s="70">
        <f t="shared" si="37"/>
        <v>0.38</v>
      </c>
      <c r="M78" s="70">
        <f t="shared" si="37"/>
        <v>0.38</v>
      </c>
      <c r="N78" s="70">
        <f t="shared" si="37"/>
        <v>0.38</v>
      </c>
      <c r="O78" s="70">
        <f t="shared" si="37"/>
        <v>0.38</v>
      </c>
    </row>
    <row r="79" spans="2:18">
      <c r="B79" s="3" t="s">
        <v>67</v>
      </c>
      <c r="C79" s="70">
        <f t="shared" ref="C79" si="38">+C62/C45</f>
        <v>0.34000000000000008</v>
      </c>
      <c r="D79" s="70">
        <f t="shared" ref="D79:O79" si="39">+D62/D45</f>
        <v>0.34000000000000008</v>
      </c>
      <c r="E79" s="70">
        <f t="shared" si="39"/>
        <v>0.34000000000000008</v>
      </c>
      <c r="F79" s="70">
        <f t="shared" si="39"/>
        <v>0.34000000000000008</v>
      </c>
      <c r="G79" s="70">
        <f t="shared" si="39"/>
        <v>0.34000000000000008</v>
      </c>
      <c r="H79" s="70">
        <f t="shared" si="39"/>
        <v>0.34000000000000008</v>
      </c>
      <c r="I79" s="70">
        <f t="shared" si="39"/>
        <v>0.34000000000000008</v>
      </c>
      <c r="J79" s="70">
        <f t="shared" si="39"/>
        <v>0.34000000000000008</v>
      </c>
      <c r="K79" s="70">
        <f t="shared" si="39"/>
        <v>0.34000000000000008</v>
      </c>
      <c r="L79" s="70">
        <f t="shared" si="39"/>
        <v>0.34000000000000008</v>
      </c>
      <c r="M79" s="70">
        <f t="shared" si="39"/>
        <v>0.34000000000000008</v>
      </c>
      <c r="N79" s="70">
        <f t="shared" si="39"/>
        <v>0.34000000000000008</v>
      </c>
      <c r="O79" s="70">
        <f t="shared" si="39"/>
        <v>0.34000000000000008</v>
      </c>
    </row>
    <row r="80" spans="2:18">
      <c r="B80" s="3" t="s">
        <v>68</v>
      </c>
      <c r="C80" s="70">
        <f t="shared" ref="C80" si="40">+C63/C46</f>
        <v>0.31000000000000005</v>
      </c>
      <c r="D80" s="70">
        <f t="shared" ref="D80:O80" si="41">+D63/D46</f>
        <v>0.31000000000000005</v>
      </c>
      <c r="E80" s="70">
        <f t="shared" si="41"/>
        <v>0.31000000000000005</v>
      </c>
      <c r="F80" s="70">
        <f t="shared" si="41"/>
        <v>0.31000000000000005</v>
      </c>
      <c r="G80" s="70">
        <f t="shared" si="41"/>
        <v>0.31000000000000005</v>
      </c>
      <c r="H80" s="70">
        <f t="shared" si="41"/>
        <v>0.31000000000000005</v>
      </c>
      <c r="I80" s="70">
        <f t="shared" si="41"/>
        <v>0.31000000000000005</v>
      </c>
      <c r="J80" s="70">
        <f t="shared" si="41"/>
        <v>0.31000000000000005</v>
      </c>
      <c r="K80" s="70">
        <f t="shared" si="41"/>
        <v>0.31000000000000005</v>
      </c>
      <c r="L80" s="70">
        <f t="shared" si="41"/>
        <v>0.31000000000000005</v>
      </c>
      <c r="M80" s="70">
        <f t="shared" si="41"/>
        <v>0.31000000000000005</v>
      </c>
      <c r="N80" s="70">
        <f t="shared" si="41"/>
        <v>0.31000000000000005</v>
      </c>
      <c r="O80" s="70">
        <f t="shared" si="41"/>
        <v>0.31000000000000005</v>
      </c>
    </row>
    <row r="81" spans="2:18">
      <c r="B81" s="3" t="s">
        <v>69</v>
      </c>
      <c r="C81" s="70">
        <f t="shared" ref="C81" si="42">+C64/C47</f>
        <v>0.41999999999999993</v>
      </c>
      <c r="D81" s="70">
        <f t="shared" ref="D81:O81" si="43">+D64/D47</f>
        <v>0.41999999999999993</v>
      </c>
      <c r="E81" s="70">
        <f t="shared" si="43"/>
        <v>0.41999999999999993</v>
      </c>
      <c r="F81" s="70">
        <f t="shared" si="43"/>
        <v>0.41999999999999993</v>
      </c>
      <c r="G81" s="70">
        <f t="shared" si="43"/>
        <v>0.41999999999999993</v>
      </c>
      <c r="H81" s="70">
        <f t="shared" si="43"/>
        <v>0.41999999999999993</v>
      </c>
      <c r="I81" s="70">
        <f t="shared" si="43"/>
        <v>0.41999999999999993</v>
      </c>
      <c r="J81" s="70">
        <f t="shared" si="43"/>
        <v>0.41999999999999993</v>
      </c>
      <c r="K81" s="70">
        <f t="shared" si="43"/>
        <v>0.41999999999999993</v>
      </c>
      <c r="L81" s="70">
        <f t="shared" si="43"/>
        <v>0.41999999999999993</v>
      </c>
      <c r="M81" s="70">
        <f t="shared" si="43"/>
        <v>0.41999999999999993</v>
      </c>
      <c r="N81" s="70">
        <f t="shared" si="43"/>
        <v>0.41999999999999993</v>
      </c>
      <c r="O81" s="70">
        <f t="shared" si="43"/>
        <v>0.41999999999999993</v>
      </c>
    </row>
    <row r="82" spans="2:18">
      <c r="B82" s="3" t="s">
        <v>70</v>
      </c>
      <c r="C82" s="70">
        <f t="shared" ref="C82" si="44">+C65/C48</f>
        <v>0.33000000000000013</v>
      </c>
      <c r="D82" s="70">
        <f t="shared" ref="D82:O82" si="45">+D65/D48</f>
        <v>0.33000000000000013</v>
      </c>
      <c r="E82" s="70">
        <f t="shared" si="45"/>
        <v>0.33000000000000013</v>
      </c>
      <c r="F82" s="70">
        <f t="shared" si="45"/>
        <v>0.33000000000000013</v>
      </c>
      <c r="G82" s="70">
        <f t="shared" si="45"/>
        <v>0.33000000000000013</v>
      </c>
      <c r="H82" s="70">
        <f t="shared" si="45"/>
        <v>0.33000000000000013</v>
      </c>
      <c r="I82" s="70">
        <f t="shared" si="45"/>
        <v>0.33000000000000013</v>
      </c>
      <c r="J82" s="70">
        <f t="shared" si="45"/>
        <v>0.33000000000000013</v>
      </c>
      <c r="K82" s="70">
        <f t="shared" si="45"/>
        <v>0.33000000000000013</v>
      </c>
      <c r="L82" s="70">
        <f t="shared" si="45"/>
        <v>0.33000000000000013</v>
      </c>
      <c r="M82" s="70">
        <f t="shared" si="45"/>
        <v>0.33000000000000013</v>
      </c>
      <c r="N82" s="70">
        <f t="shared" si="45"/>
        <v>0.33000000000000013</v>
      </c>
      <c r="O82" s="70">
        <f t="shared" si="45"/>
        <v>0.33000000000000013</v>
      </c>
    </row>
    <row r="83" spans="2:18">
      <c r="B83" s="3" t="s">
        <v>71</v>
      </c>
      <c r="C83" s="70">
        <f t="shared" ref="C83" si="46">+C66/C49</f>
        <v>0.36</v>
      </c>
      <c r="D83" s="70">
        <f t="shared" ref="D83:O83" si="47">+D66/D49</f>
        <v>0.36</v>
      </c>
      <c r="E83" s="70">
        <f t="shared" si="47"/>
        <v>0.36</v>
      </c>
      <c r="F83" s="70">
        <f t="shared" si="47"/>
        <v>0.36</v>
      </c>
      <c r="G83" s="70">
        <f t="shared" si="47"/>
        <v>0.36</v>
      </c>
      <c r="H83" s="70">
        <f t="shared" si="47"/>
        <v>0.36</v>
      </c>
      <c r="I83" s="70">
        <f t="shared" si="47"/>
        <v>0.36</v>
      </c>
      <c r="J83" s="70">
        <f t="shared" si="47"/>
        <v>0.36</v>
      </c>
      <c r="K83" s="70">
        <f t="shared" si="47"/>
        <v>0.36</v>
      </c>
      <c r="L83" s="70">
        <f t="shared" si="47"/>
        <v>0.36</v>
      </c>
      <c r="M83" s="70">
        <f t="shared" si="47"/>
        <v>0.36</v>
      </c>
      <c r="N83" s="70">
        <f t="shared" si="47"/>
        <v>0.36</v>
      </c>
      <c r="O83" s="70">
        <f t="shared" si="47"/>
        <v>0.36</v>
      </c>
    </row>
    <row r="84" spans="2:18">
      <c r="B84" s="3" t="s">
        <v>72</v>
      </c>
      <c r="C84" s="70">
        <f t="shared" ref="C84" si="48">+C67/C50</f>
        <v>0.35000000000000003</v>
      </c>
      <c r="D84" s="70">
        <f t="shared" ref="D84:O84" si="49">+D67/D50</f>
        <v>0.35000000000000003</v>
      </c>
      <c r="E84" s="70">
        <f t="shared" si="49"/>
        <v>0.35000000000000003</v>
      </c>
      <c r="F84" s="70">
        <f t="shared" si="49"/>
        <v>0.35000000000000003</v>
      </c>
      <c r="G84" s="70">
        <f t="shared" si="49"/>
        <v>0.35000000000000003</v>
      </c>
      <c r="H84" s="70">
        <f t="shared" si="49"/>
        <v>0.35000000000000003</v>
      </c>
      <c r="I84" s="70">
        <f t="shared" si="49"/>
        <v>0.35000000000000003</v>
      </c>
      <c r="J84" s="70">
        <f t="shared" si="49"/>
        <v>0.35000000000000003</v>
      </c>
      <c r="K84" s="70">
        <f t="shared" si="49"/>
        <v>0.35000000000000003</v>
      </c>
      <c r="L84" s="70">
        <f t="shared" si="49"/>
        <v>0.35000000000000003</v>
      </c>
      <c r="M84" s="70">
        <f t="shared" si="49"/>
        <v>0.35000000000000003</v>
      </c>
      <c r="N84" s="70">
        <f t="shared" si="49"/>
        <v>0.35000000000000003</v>
      </c>
      <c r="O84" s="70">
        <f t="shared" si="49"/>
        <v>0.35000000000000003</v>
      </c>
    </row>
    <row r="85" spans="2:18">
      <c r="B85" s="3" t="s">
        <v>73</v>
      </c>
      <c r="C85" s="70">
        <f t="shared" ref="C85" si="50">+C68/C51</f>
        <v>0.48</v>
      </c>
      <c r="D85" s="70">
        <f t="shared" ref="D85:O85" si="51">+D68/D51</f>
        <v>0.48</v>
      </c>
      <c r="E85" s="70">
        <f t="shared" si="51"/>
        <v>0.48</v>
      </c>
      <c r="F85" s="70">
        <f t="shared" si="51"/>
        <v>0.48</v>
      </c>
      <c r="G85" s="70">
        <f t="shared" si="51"/>
        <v>0.48</v>
      </c>
      <c r="H85" s="70">
        <f t="shared" si="51"/>
        <v>0.48</v>
      </c>
      <c r="I85" s="70">
        <f t="shared" si="51"/>
        <v>0.48</v>
      </c>
      <c r="J85" s="70">
        <f t="shared" si="51"/>
        <v>0.48</v>
      </c>
      <c r="K85" s="70">
        <f t="shared" si="51"/>
        <v>0.48</v>
      </c>
      <c r="L85" s="70">
        <f t="shared" si="51"/>
        <v>0.48</v>
      </c>
      <c r="M85" s="70">
        <f t="shared" si="51"/>
        <v>0.48</v>
      </c>
      <c r="N85" s="70">
        <f t="shared" si="51"/>
        <v>0.48</v>
      </c>
      <c r="O85" s="70">
        <f t="shared" si="51"/>
        <v>0.48</v>
      </c>
    </row>
    <row r="86" spans="2:18">
      <c r="B86" s="1"/>
      <c r="C86" s="70"/>
      <c r="D86" s="70"/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</row>
    <row r="87" spans="2:18" s="47" customFormat="1">
      <c r="B87" s="43" t="s">
        <v>82</v>
      </c>
      <c r="C87" s="71">
        <f t="shared" ref="C87" si="52">+C70/C53</f>
        <v>0.34171105676295882</v>
      </c>
      <c r="D87" s="71">
        <f t="shared" ref="D87:O87" si="53">+D70/D53</f>
        <v>0.34171105676295882</v>
      </c>
      <c r="E87" s="71">
        <f t="shared" si="53"/>
        <v>0.34171105676295882</v>
      </c>
      <c r="F87" s="71">
        <f t="shared" si="53"/>
        <v>0.34171105676295882</v>
      </c>
      <c r="G87" s="71">
        <f t="shared" si="53"/>
        <v>0.34171105676295882</v>
      </c>
      <c r="H87" s="71">
        <f t="shared" si="53"/>
        <v>0.34171105676295882</v>
      </c>
      <c r="I87" s="71">
        <f t="shared" si="53"/>
        <v>0.34171105676295882</v>
      </c>
      <c r="J87" s="71">
        <f t="shared" si="53"/>
        <v>0.34171105676295882</v>
      </c>
      <c r="K87" s="71">
        <f t="shared" si="53"/>
        <v>0.34171105676295882</v>
      </c>
      <c r="L87" s="71">
        <f t="shared" si="53"/>
        <v>0.34171105676295882</v>
      </c>
      <c r="M87" s="71">
        <f t="shared" si="53"/>
        <v>0.34171105676295882</v>
      </c>
      <c r="N87" s="71">
        <f t="shared" si="53"/>
        <v>0.34171105676295882</v>
      </c>
      <c r="O87" s="71">
        <f t="shared" si="53"/>
        <v>0.34171105676295882</v>
      </c>
      <c r="P87" s="72"/>
      <c r="Q87" s="72"/>
      <c r="R87" s="72"/>
    </row>
    <row r="89" spans="2:18" ht="15.9">
      <c r="B89" s="68" t="s">
        <v>268</v>
      </c>
    </row>
    <row r="90" spans="2:18" ht="15.9">
      <c r="B90" s="68"/>
    </row>
    <row r="91" spans="2:18">
      <c r="B91" s="25" t="s">
        <v>59</v>
      </c>
      <c r="C91" s="2" t="s">
        <v>38</v>
      </c>
      <c r="D91" s="2" t="s">
        <v>9</v>
      </c>
      <c r="E91" s="2" t="s">
        <v>39</v>
      </c>
      <c r="F91" s="2" t="s">
        <v>40</v>
      </c>
      <c r="G91" s="2" t="s">
        <v>41</v>
      </c>
      <c r="H91" s="2" t="s">
        <v>42</v>
      </c>
      <c r="I91" s="2" t="s">
        <v>43</v>
      </c>
      <c r="J91" s="2" t="s">
        <v>44</v>
      </c>
      <c r="K91" s="2" t="s">
        <v>45</v>
      </c>
      <c r="L91" s="2" t="s">
        <v>46</v>
      </c>
      <c r="M91" s="2" t="s">
        <v>47</v>
      </c>
      <c r="N91" s="2" t="s">
        <v>48</v>
      </c>
      <c r="O91" s="2" t="s">
        <v>49</v>
      </c>
    </row>
    <row r="92" spans="2:18">
      <c r="B92" s="118" t="s">
        <v>236</v>
      </c>
      <c r="C92" s="119">
        <f>IF(C24="",100,100*(1+C24))</f>
        <v>100</v>
      </c>
      <c r="D92" s="119">
        <f>IF(D24="",100,100*(1+D24))</f>
        <v>100</v>
      </c>
      <c r="E92" s="119">
        <f>IF(E24="",100,100*(1+E24))</f>
        <v>100</v>
      </c>
      <c r="F92" s="119">
        <f>IF(F24="",100,100*(1+F24))</f>
        <v>100</v>
      </c>
      <c r="G92" s="119">
        <f>IF(G24="",100,100*(1+G24))</f>
        <v>100</v>
      </c>
      <c r="H92" s="119">
        <f>IF(H24="",100,100*(1+H24))</f>
        <v>100</v>
      </c>
      <c r="I92" s="119">
        <f>IF(I24="",100,100*(1+I24))</f>
        <v>100</v>
      </c>
      <c r="J92" s="119">
        <f>IF(J24="",100,100*(1+J24))</f>
        <v>100</v>
      </c>
      <c r="K92" s="119">
        <f>IF(K24="",100,100*(1+K24))</f>
        <v>100</v>
      </c>
      <c r="L92" s="119">
        <f>IF(L24="",100,100*(1+L24))</f>
        <v>100</v>
      </c>
      <c r="M92" s="119">
        <f>IF(M24="",100,100*(1+M24))</f>
        <v>100</v>
      </c>
      <c r="N92" s="119">
        <f>IF(N24="",100,100*(1+N24))</f>
        <v>100</v>
      </c>
      <c r="O92" s="119">
        <f>IF(O24="",100,100*(1+O24))</f>
        <v>100</v>
      </c>
    </row>
    <row r="93" spans="2:18">
      <c r="B93" s="118" t="s">
        <v>64</v>
      </c>
      <c r="C93" s="119">
        <f>IF(C25="",100,100*(1+C25))</f>
        <v>100</v>
      </c>
      <c r="D93" s="119">
        <f>IF(D25="",100,100*(1+D25))</f>
        <v>100</v>
      </c>
      <c r="E93" s="119">
        <f>IF(E25="",100,100*(1+E25))</f>
        <v>100</v>
      </c>
      <c r="F93" s="119">
        <f>IF(F25="",100,100*(1+F25))</f>
        <v>100</v>
      </c>
      <c r="G93" s="119">
        <f>IF(G25="",100,100*(1+G25))</f>
        <v>100</v>
      </c>
      <c r="H93" s="119">
        <f>IF(H25="",100,100*(1+H25))</f>
        <v>100</v>
      </c>
      <c r="I93" s="119">
        <f>IF(I25="",100,100*(1+I25))</f>
        <v>100</v>
      </c>
      <c r="J93" s="119">
        <f>IF(J25="",100,100*(1+J25))</f>
        <v>100</v>
      </c>
      <c r="K93" s="119">
        <f>IF(K25="",100,100*(1+K25))</f>
        <v>100</v>
      </c>
      <c r="L93" s="119">
        <f>IF(L25="",100,100*(1+L25))</f>
        <v>100</v>
      </c>
      <c r="M93" s="119">
        <f>IF(M25="",100,100*(1+M25))</f>
        <v>100</v>
      </c>
      <c r="N93" s="119">
        <f>IF(N25="",100,100*(1+N25))</f>
        <v>100</v>
      </c>
      <c r="O93" s="119">
        <f>IF(O25="",100,100*(1+O25))</f>
        <v>100</v>
      </c>
    </row>
    <row r="94" spans="2:18">
      <c r="B94" s="118" t="s">
        <v>65</v>
      </c>
      <c r="C94" s="119">
        <f>IF(C26="",100,100*(1+C26))</f>
        <v>100</v>
      </c>
      <c r="D94" s="119">
        <f>IF(D26="",100,100*(1+D26))</f>
        <v>100</v>
      </c>
      <c r="E94" s="119">
        <f>IF(E26="",100,100*(1+E26))</f>
        <v>100</v>
      </c>
      <c r="F94" s="119">
        <f>IF(F26="",100,100*(1+F26))</f>
        <v>100</v>
      </c>
      <c r="G94" s="119">
        <f>IF(G26="",100,100*(1+G26))</f>
        <v>100</v>
      </c>
      <c r="H94" s="119">
        <f>IF(H26="",100,100*(1+H26))</f>
        <v>100</v>
      </c>
      <c r="I94" s="119">
        <f>IF(I26="",100,100*(1+I26))</f>
        <v>100</v>
      </c>
      <c r="J94" s="119">
        <f>IF(J26="",100,100*(1+J26))</f>
        <v>100</v>
      </c>
      <c r="K94" s="119">
        <f>IF(K26="",100,100*(1+K26))</f>
        <v>100</v>
      </c>
      <c r="L94" s="119">
        <f>IF(L26="",100,100*(1+L26))</f>
        <v>100</v>
      </c>
      <c r="M94" s="119">
        <f>IF(M26="",100,100*(1+M26))</f>
        <v>100</v>
      </c>
      <c r="N94" s="119">
        <f>IF(N26="",100,100*(1+N26))</f>
        <v>100</v>
      </c>
      <c r="O94" s="119">
        <f>IF(O26="",100,100*(1+O26))</f>
        <v>100</v>
      </c>
    </row>
    <row r="95" spans="2:18">
      <c r="B95" s="118" t="s">
        <v>66</v>
      </c>
      <c r="C95" s="119">
        <f>IF(C27="",100,100*(1+C27))</f>
        <v>100</v>
      </c>
      <c r="D95" s="119">
        <f>IF(D27="",100,100*(1+D27))</f>
        <v>100</v>
      </c>
      <c r="E95" s="119">
        <f>IF(E27="",100,100*(1+E27))</f>
        <v>100</v>
      </c>
      <c r="F95" s="119">
        <f>IF(F27="",100,100*(1+F27))</f>
        <v>100</v>
      </c>
      <c r="G95" s="119">
        <f>IF(G27="",100,100*(1+G27))</f>
        <v>100</v>
      </c>
      <c r="H95" s="119">
        <f>IF(H27="",100,100*(1+H27))</f>
        <v>100</v>
      </c>
      <c r="I95" s="119">
        <f>IF(I27="",100,100*(1+I27))</f>
        <v>100</v>
      </c>
      <c r="J95" s="119">
        <f>IF(J27="",100,100*(1+J27))</f>
        <v>100</v>
      </c>
      <c r="K95" s="119">
        <f>IF(K27="",100,100*(1+K27))</f>
        <v>100</v>
      </c>
      <c r="L95" s="119">
        <f>IF(L27="",100,100*(1+L27))</f>
        <v>100</v>
      </c>
      <c r="M95" s="119">
        <f>IF(M27="",100,100*(1+M27))</f>
        <v>100</v>
      </c>
      <c r="N95" s="119">
        <f>IF(N27="",100,100*(1+N27))</f>
        <v>100</v>
      </c>
      <c r="O95" s="119">
        <f>IF(O27="",100,100*(1+O27))</f>
        <v>100</v>
      </c>
    </row>
    <row r="96" spans="2:18">
      <c r="B96" s="118" t="s">
        <v>67</v>
      </c>
      <c r="C96" s="119">
        <f>IF(C28="",100,100*(1+C28))</f>
        <v>100</v>
      </c>
      <c r="D96" s="119">
        <f>IF(D28="",100,100*(1+D28))</f>
        <v>100</v>
      </c>
      <c r="E96" s="119">
        <f>IF(E28="",100,100*(1+E28))</f>
        <v>100</v>
      </c>
      <c r="F96" s="119">
        <f>IF(F28="",100,100*(1+F28))</f>
        <v>100</v>
      </c>
      <c r="G96" s="119">
        <f>IF(G28="",100,100*(1+G28))</f>
        <v>100</v>
      </c>
      <c r="H96" s="119">
        <f>IF(H28="",100,100*(1+H28))</f>
        <v>100</v>
      </c>
      <c r="I96" s="119">
        <f>IF(I28="",100,100*(1+I28))</f>
        <v>100</v>
      </c>
      <c r="J96" s="119">
        <f>IF(J28="",100,100*(1+J28))</f>
        <v>100</v>
      </c>
      <c r="K96" s="119">
        <f>IF(K28="",100,100*(1+K28))</f>
        <v>100</v>
      </c>
      <c r="L96" s="119">
        <f>IF(L28="",100,100*(1+L28))</f>
        <v>100</v>
      </c>
      <c r="M96" s="119">
        <f>IF(M28="",100,100*(1+M28))</f>
        <v>100</v>
      </c>
      <c r="N96" s="119">
        <f>IF(N28="",100,100*(1+N28))</f>
        <v>100</v>
      </c>
      <c r="O96" s="119">
        <f>IF(O28="",100,100*(1+O28))</f>
        <v>100</v>
      </c>
    </row>
    <row r="97" spans="2:15">
      <c r="B97" s="118" t="s">
        <v>68</v>
      </c>
      <c r="C97" s="119">
        <f>IF(C29="",100,100*(1+C29))</f>
        <v>100</v>
      </c>
      <c r="D97" s="119">
        <f>IF(D29="",100,100*(1+D29))</f>
        <v>100</v>
      </c>
      <c r="E97" s="119">
        <f>IF(E29="",100,100*(1+E29))</f>
        <v>100</v>
      </c>
      <c r="F97" s="119">
        <f>IF(F29="",100,100*(1+F29))</f>
        <v>100</v>
      </c>
      <c r="G97" s="119">
        <f>IF(G29="",100,100*(1+G29))</f>
        <v>100</v>
      </c>
      <c r="H97" s="119">
        <f>IF(H29="",100,100*(1+H29))</f>
        <v>100</v>
      </c>
      <c r="I97" s="119">
        <f>IF(I29="",100,100*(1+I29))</f>
        <v>100</v>
      </c>
      <c r="J97" s="119">
        <f>IF(J29="",100,100*(1+J29))</f>
        <v>100</v>
      </c>
      <c r="K97" s="119">
        <f>IF(K29="",100,100*(1+K29))</f>
        <v>100</v>
      </c>
      <c r="L97" s="119">
        <f>IF(L29="",100,100*(1+L29))</f>
        <v>100</v>
      </c>
      <c r="M97" s="119">
        <f>IF(M29="",100,100*(1+M29))</f>
        <v>100</v>
      </c>
      <c r="N97" s="119">
        <f>IF(N29="",100,100*(1+N29))</f>
        <v>100</v>
      </c>
      <c r="O97" s="119">
        <f>IF(O29="",100,100*(1+O29))</f>
        <v>100</v>
      </c>
    </row>
    <row r="98" spans="2:15">
      <c r="B98" s="118" t="s">
        <v>69</v>
      </c>
      <c r="C98" s="119">
        <f>IF(C30="",100,100*(1+C30))</f>
        <v>100</v>
      </c>
      <c r="D98" s="119">
        <f>IF(D30="",100,100*(1+D30))</f>
        <v>100</v>
      </c>
      <c r="E98" s="119">
        <f>IF(E30="",100,100*(1+E30))</f>
        <v>100</v>
      </c>
      <c r="F98" s="119">
        <f>IF(F30="",100,100*(1+F30))</f>
        <v>100</v>
      </c>
      <c r="G98" s="119">
        <f>IF(G30="",100,100*(1+G30))</f>
        <v>100</v>
      </c>
      <c r="H98" s="119">
        <f>IF(H30="",100,100*(1+H30))</f>
        <v>100</v>
      </c>
      <c r="I98" s="119">
        <f>IF(I30="",100,100*(1+I30))</f>
        <v>100</v>
      </c>
      <c r="J98" s="119">
        <f>IF(J30="",100,100*(1+J30))</f>
        <v>100</v>
      </c>
      <c r="K98" s="119">
        <f>IF(K30="",100,100*(1+K30))</f>
        <v>100</v>
      </c>
      <c r="L98" s="119">
        <f>IF(L30="",100,100*(1+L30))</f>
        <v>100</v>
      </c>
      <c r="M98" s="119">
        <f>IF(M30="",100,100*(1+M30))</f>
        <v>100</v>
      </c>
      <c r="N98" s="119">
        <f>IF(N30="",100,100*(1+N30))</f>
        <v>100</v>
      </c>
      <c r="O98" s="119">
        <f>IF(O30="",100,100*(1+O30))</f>
        <v>100</v>
      </c>
    </row>
    <row r="99" spans="2:15">
      <c r="B99" s="118" t="s">
        <v>70</v>
      </c>
      <c r="C99" s="119">
        <f>IF(C31="",100,100*(1+C31))</f>
        <v>100</v>
      </c>
      <c r="D99" s="119">
        <f>IF(D31="",100,100*(1+D31))</f>
        <v>100</v>
      </c>
      <c r="E99" s="119">
        <f>IF(E31="",100,100*(1+E31))</f>
        <v>100</v>
      </c>
      <c r="F99" s="119">
        <f>IF(F31="",100,100*(1+F31))</f>
        <v>100</v>
      </c>
      <c r="G99" s="119">
        <f>IF(G31="",100,100*(1+G31))</f>
        <v>100</v>
      </c>
      <c r="H99" s="119">
        <f>IF(H31="",100,100*(1+H31))</f>
        <v>100</v>
      </c>
      <c r="I99" s="119">
        <f>IF(I31="",100,100*(1+I31))</f>
        <v>100</v>
      </c>
      <c r="J99" s="119">
        <f>IF(J31="",100,100*(1+J31))</f>
        <v>100</v>
      </c>
      <c r="K99" s="119">
        <f>IF(K31="",100,100*(1+K31))</f>
        <v>100</v>
      </c>
      <c r="L99" s="119">
        <f>IF(L31="",100,100*(1+L31))</f>
        <v>100</v>
      </c>
      <c r="M99" s="119">
        <f>IF(M31="",100,100*(1+M31))</f>
        <v>100</v>
      </c>
      <c r="N99" s="119">
        <f>IF(N31="",100,100*(1+N31))</f>
        <v>100</v>
      </c>
      <c r="O99" s="119">
        <f>IF(O31="",100,100*(1+O31))</f>
        <v>100</v>
      </c>
    </row>
    <row r="100" spans="2:15">
      <c r="B100" s="118" t="s">
        <v>71</v>
      </c>
      <c r="C100" s="119">
        <f>IF(C32="",100,100*(1+C32))</f>
        <v>100</v>
      </c>
      <c r="D100" s="119">
        <f>IF(D32="",100,100*(1+D32))</f>
        <v>100</v>
      </c>
      <c r="E100" s="119">
        <f>IF(E32="",100,100*(1+E32))</f>
        <v>100</v>
      </c>
      <c r="F100" s="119">
        <f>IF(F32="",100,100*(1+F32))</f>
        <v>100</v>
      </c>
      <c r="G100" s="119">
        <f>IF(G32="",100,100*(1+G32))</f>
        <v>100</v>
      </c>
      <c r="H100" s="119">
        <f>IF(H32="",100,100*(1+H32))</f>
        <v>100</v>
      </c>
      <c r="I100" s="119">
        <f>IF(I32="",100,100*(1+I32))</f>
        <v>100</v>
      </c>
      <c r="J100" s="119">
        <f>IF(J32="",100,100*(1+J32))</f>
        <v>100</v>
      </c>
      <c r="K100" s="119">
        <f>IF(K32="",100,100*(1+K32))</f>
        <v>100</v>
      </c>
      <c r="L100" s="119">
        <f>IF(L32="",100,100*(1+L32))</f>
        <v>100</v>
      </c>
      <c r="M100" s="119">
        <f>IF(M32="",100,100*(1+M32))</f>
        <v>100</v>
      </c>
      <c r="N100" s="119">
        <f>IF(N32="",100,100*(1+N32))</f>
        <v>100</v>
      </c>
      <c r="O100" s="119">
        <f>IF(O32="",100,100*(1+O32))</f>
        <v>100</v>
      </c>
    </row>
    <row r="101" spans="2:15">
      <c r="B101" s="118" t="s">
        <v>72</v>
      </c>
      <c r="C101" s="119">
        <f>IF(C33="",100,100*(1+C33))</f>
        <v>100</v>
      </c>
      <c r="D101" s="119">
        <f>IF(D33="",100,100*(1+D33))</f>
        <v>100</v>
      </c>
      <c r="E101" s="119">
        <f>IF(E33="",100,100*(1+E33))</f>
        <v>100</v>
      </c>
      <c r="F101" s="119">
        <f>IF(F33="",100,100*(1+F33))</f>
        <v>100</v>
      </c>
      <c r="G101" s="119">
        <f>IF(G33="",100,100*(1+G33))</f>
        <v>100</v>
      </c>
      <c r="H101" s="119">
        <f>IF(H33="",100,100*(1+H33))</f>
        <v>100</v>
      </c>
      <c r="I101" s="119">
        <f>IF(I33="",100,100*(1+I33))</f>
        <v>100</v>
      </c>
      <c r="J101" s="119">
        <f>IF(J33="",100,100*(1+J33))</f>
        <v>100</v>
      </c>
      <c r="K101" s="119">
        <f>IF(K33="",100,100*(1+K33))</f>
        <v>100</v>
      </c>
      <c r="L101" s="119">
        <f>IF(L33="",100,100*(1+L33))</f>
        <v>100</v>
      </c>
      <c r="M101" s="119">
        <f>IF(M33="",100,100*(1+M33))</f>
        <v>100</v>
      </c>
      <c r="N101" s="119">
        <f>IF(N33="",100,100*(1+N33))</f>
        <v>100</v>
      </c>
      <c r="O101" s="119">
        <f>IF(O33="",100,100*(1+O33))</f>
        <v>100</v>
      </c>
    </row>
    <row r="102" spans="2:15">
      <c r="B102" s="118" t="s">
        <v>73</v>
      </c>
      <c r="C102" s="119">
        <f>IF(C34="",100,100*(1+C34))</f>
        <v>100</v>
      </c>
      <c r="D102" s="119">
        <f>IF(D34="",100,100*(1+D34))</f>
        <v>100</v>
      </c>
      <c r="E102" s="119">
        <f>IF(E34="",100,100*(1+E34))</f>
        <v>100</v>
      </c>
      <c r="F102" s="119">
        <f>IF(F34="",100,100*(1+F34))</f>
        <v>100</v>
      </c>
      <c r="G102" s="119">
        <f>IF(G34="",100,100*(1+G34))</f>
        <v>100</v>
      </c>
      <c r="H102" s="119">
        <f>IF(H34="",100,100*(1+H34))</f>
        <v>100</v>
      </c>
      <c r="I102" s="119">
        <f>IF(I34="",100,100*(1+I34))</f>
        <v>100</v>
      </c>
      <c r="J102" s="119">
        <f>IF(J34="",100,100*(1+J34))</f>
        <v>100</v>
      </c>
      <c r="K102" s="119">
        <f>IF(K34="",100,100*(1+K34))</f>
        <v>100</v>
      </c>
      <c r="L102" s="119">
        <f>IF(L34="",100,100*(1+L34))</f>
        <v>100</v>
      </c>
      <c r="M102" s="119">
        <f>IF(M34="",100,100*(1+M34))</f>
        <v>100</v>
      </c>
      <c r="N102" s="119">
        <f>IF(N34="",100,100*(1+N34))</f>
        <v>100</v>
      </c>
      <c r="O102" s="119">
        <f>IF(O34="",100,100*(1+O34))</f>
        <v>100</v>
      </c>
    </row>
    <row r="103" spans="2:15" ht="14.6" thickBot="1">
      <c r="B103" s="118"/>
      <c r="C103" s="119"/>
      <c r="D103" s="119"/>
      <c r="E103" s="119"/>
      <c r="F103" s="119"/>
      <c r="G103" s="119"/>
      <c r="H103" s="119"/>
      <c r="I103" s="119"/>
      <c r="J103" s="119"/>
      <c r="K103" s="119"/>
      <c r="L103" s="119"/>
      <c r="M103" s="119"/>
      <c r="N103" s="119"/>
      <c r="O103" s="119"/>
    </row>
    <row r="104" spans="2:15" ht="16.3" thickBot="1">
      <c r="B104" s="122" t="s">
        <v>269</v>
      </c>
      <c r="C104" s="120">
        <f>SUMPRODUCT(C92:C102,C41:C51)/C53</f>
        <v>100.00000000000001</v>
      </c>
      <c r="D104" s="120">
        <f t="shared" ref="D104:AA104" si="54">SUMPRODUCT(D92:D102,D41:D51)/D53</f>
        <v>100.00000000000001</v>
      </c>
      <c r="E104" s="120">
        <f t="shared" si="54"/>
        <v>100.00000000000001</v>
      </c>
      <c r="F104" s="120">
        <f t="shared" si="54"/>
        <v>100.00000000000001</v>
      </c>
      <c r="G104" s="120">
        <f t="shared" si="54"/>
        <v>100.00000000000001</v>
      </c>
      <c r="H104" s="120">
        <f t="shared" si="54"/>
        <v>100.00000000000001</v>
      </c>
      <c r="I104" s="120">
        <f t="shared" si="54"/>
        <v>100.00000000000001</v>
      </c>
      <c r="J104" s="120">
        <f t="shared" si="54"/>
        <v>100.00000000000001</v>
      </c>
      <c r="K104" s="120">
        <f t="shared" si="54"/>
        <v>100.00000000000001</v>
      </c>
      <c r="L104" s="120">
        <f t="shared" si="54"/>
        <v>100.00000000000001</v>
      </c>
      <c r="M104" s="120">
        <f t="shared" si="54"/>
        <v>100.00000000000001</v>
      </c>
      <c r="N104" s="120">
        <f t="shared" si="54"/>
        <v>100.00000000000001</v>
      </c>
      <c r="O104" s="121">
        <f t="shared" si="54"/>
        <v>100.00000000000001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-0.499984740745262"/>
  </sheetPr>
  <dimension ref="B2:P103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J11" sqref="J11"/>
    </sheetView>
  </sheetViews>
  <sheetFormatPr defaultRowHeight="14.15"/>
  <cols>
    <col min="1" max="1" width="3.2109375" customWidth="1"/>
    <col min="2" max="2" width="20.78515625" customWidth="1"/>
    <col min="3" max="15" width="8.640625" customWidth="1"/>
  </cols>
  <sheetData>
    <row r="2" spans="2:16">
      <c r="D2" s="39"/>
      <c r="E2" s="39"/>
      <c r="F2" s="39"/>
      <c r="G2" s="39"/>
      <c r="H2" s="39"/>
      <c r="I2" s="39"/>
      <c r="J2" s="39"/>
      <c r="K2" s="39"/>
      <c r="L2" s="39"/>
    </row>
    <row r="3" spans="2:16" ht="18.45">
      <c r="B3" s="29" t="s">
        <v>75</v>
      </c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8"/>
    </row>
    <row r="4" spans="2:16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16" s="30" customFormat="1" ht="25.75">
      <c r="B5" s="25" t="s">
        <v>59</v>
      </c>
      <c r="C5" s="25" t="s">
        <v>76</v>
      </c>
      <c r="D5" s="25" t="s">
        <v>77</v>
      </c>
      <c r="E5" s="25" t="s">
        <v>78</v>
      </c>
      <c r="F5" s="25" t="s">
        <v>81</v>
      </c>
      <c r="H5" s="1"/>
      <c r="I5" s="1"/>
      <c r="J5" s="1"/>
      <c r="K5" s="1"/>
      <c r="L5" s="1"/>
      <c r="O5" s="50"/>
      <c r="P5" s="50"/>
    </row>
    <row r="6" spans="2:16">
      <c r="B6" s="3" t="s">
        <v>236</v>
      </c>
      <c r="C6" s="20">
        <v>420</v>
      </c>
      <c r="D6" s="5">
        <v>0.95</v>
      </c>
      <c r="E6" s="5">
        <v>0.05</v>
      </c>
      <c r="F6" s="6">
        <f t="shared" ref="F6:F16" si="0">MAX(0.002,0.012-E6*0.03)</f>
        <v>1.0500000000000001E-2</v>
      </c>
      <c r="H6" s="1"/>
      <c r="I6" s="1"/>
      <c r="J6" s="1"/>
      <c r="K6" s="1"/>
      <c r="L6" s="1"/>
      <c r="O6" s="1"/>
      <c r="P6" s="1"/>
    </row>
    <row r="7" spans="2:16">
      <c r="B7" s="3" t="s">
        <v>64</v>
      </c>
      <c r="C7" s="20">
        <v>160</v>
      </c>
      <c r="D7" s="5">
        <v>0.95</v>
      </c>
      <c r="E7" s="5">
        <v>0.05</v>
      </c>
      <c r="F7" s="6">
        <f t="shared" si="0"/>
        <v>1.0500000000000001E-2</v>
      </c>
      <c r="H7" s="1"/>
      <c r="I7" s="1"/>
      <c r="J7" s="1"/>
      <c r="K7" s="1"/>
      <c r="L7" s="1"/>
      <c r="O7" s="1"/>
      <c r="P7" s="1"/>
    </row>
    <row r="8" spans="2:16">
      <c r="B8" s="3" t="s">
        <v>65</v>
      </c>
      <c r="C8" s="20">
        <v>240</v>
      </c>
      <c r="D8" s="5">
        <v>0.95</v>
      </c>
      <c r="E8" s="5">
        <v>0.05</v>
      </c>
      <c r="F8" s="6">
        <f t="shared" si="0"/>
        <v>1.0500000000000001E-2</v>
      </c>
      <c r="H8" s="1"/>
      <c r="I8" s="1"/>
      <c r="J8" s="1"/>
      <c r="K8" s="1"/>
      <c r="L8" s="1"/>
      <c r="O8" s="1"/>
      <c r="P8" s="1"/>
    </row>
    <row r="9" spans="2:16">
      <c r="B9" s="3" t="s">
        <v>66</v>
      </c>
      <c r="C9" s="20">
        <v>180</v>
      </c>
      <c r="D9" s="5">
        <v>0.95</v>
      </c>
      <c r="E9" s="5">
        <v>0.05</v>
      </c>
      <c r="F9" s="6">
        <f t="shared" si="0"/>
        <v>1.0500000000000001E-2</v>
      </c>
      <c r="H9" s="1"/>
      <c r="I9" s="1"/>
      <c r="J9" s="1"/>
      <c r="K9" s="1"/>
      <c r="L9" s="1"/>
      <c r="O9" s="1"/>
      <c r="P9" s="1"/>
    </row>
    <row r="10" spans="2:16">
      <c r="B10" s="3" t="s">
        <v>67</v>
      </c>
      <c r="C10" s="20">
        <v>260</v>
      </c>
      <c r="D10" s="5">
        <v>0.95</v>
      </c>
      <c r="E10" s="5">
        <v>0.05</v>
      </c>
      <c r="F10" s="6">
        <f t="shared" si="0"/>
        <v>1.0500000000000001E-2</v>
      </c>
      <c r="H10" s="1"/>
      <c r="I10" s="1"/>
      <c r="J10" s="1"/>
      <c r="K10" s="1"/>
      <c r="L10" s="1"/>
      <c r="O10" s="1"/>
      <c r="P10" s="1"/>
    </row>
    <row r="11" spans="2:16">
      <c r="B11" s="3" t="s">
        <v>68</v>
      </c>
      <c r="C11" s="20">
        <v>140</v>
      </c>
      <c r="D11" s="5">
        <v>0.95</v>
      </c>
      <c r="E11" s="5">
        <v>0.05</v>
      </c>
      <c r="F11" s="6">
        <f t="shared" si="0"/>
        <v>1.0500000000000001E-2</v>
      </c>
      <c r="H11" s="1"/>
      <c r="I11" s="1"/>
      <c r="J11" s="1"/>
      <c r="K11" s="1"/>
      <c r="L11" s="1"/>
      <c r="O11" s="1"/>
      <c r="P11" s="1"/>
    </row>
    <row r="12" spans="2:16">
      <c r="B12" s="3" t="s">
        <v>69</v>
      </c>
      <c r="C12" s="20">
        <v>180</v>
      </c>
      <c r="D12" s="5">
        <v>0.95</v>
      </c>
      <c r="E12" s="5">
        <v>0.05</v>
      </c>
      <c r="F12" s="6">
        <f t="shared" si="0"/>
        <v>1.0500000000000001E-2</v>
      </c>
      <c r="H12" s="1"/>
      <c r="I12" s="1"/>
      <c r="J12" s="1"/>
      <c r="K12" s="1"/>
      <c r="L12" s="1"/>
      <c r="O12" s="1"/>
      <c r="P12" s="1"/>
    </row>
    <row r="13" spans="2:16">
      <c r="B13" s="3" t="s">
        <v>70</v>
      </c>
      <c r="C13" s="20">
        <v>120</v>
      </c>
      <c r="D13" s="5">
        <v>0.95</v>
      </c>
      <c r="E13" s="5">
        <v>0.05</v>
      </c>
      <c r="F13" s="6">
        <f t="shared" si="0"/>
        <v>1.0500000000000001E-2</v>
      </c>
      <c r="H13" s="1"/>
      <c r="I13" s="1"/>
      <c r="J13" s="1"/>
      <c r="K13" s="1"/>
      <c r="L13" s="1"/>
      <c r="O13" s="1"/>
      <c r="P13" s="1"/>
    </row>
    <row r="14" spans="2:16">
      <c r="B14" s="3" t="s">
        <v>71</v>
      </c>
      <c r="C14" s="20">
        <v>160</v>
      </c>
      <c r="D14" s="5">
        <v>0.95</v>
      </c>
      <c r="E14" s="5">
        <v>0.05</v>
      </c>
      <c r="F14" s="6">
        <f t="shared" si="0"/>
        <v>1.0500000000000001E-2</v>
      </c>
      <c r="H14" s="1"/>
      <c r="I14" s="1"/>
      <c r="J14" s="1"/>
      <c r="K14" s="1"/>
      <c r="L14" s="1"/>
      <c r="O14" s="1"/>
      <c r="P14" s="1"/>
    </row>
    <row r="15" spans="2:16">
      <c r="B15" s="3" t="s">
        <v>72</v>
      </c>
      <c r="C15" s="20">
        <v>190</v>
      </c>
      <c r="D15" s="5">
        <v>0.95</v>
      </c>
      <c r="E15" s="5">
        <v>0.05</v>
      </c>
      <c r="F15" s="6">
        <f t="shared" si="0"/>
        <v>1.0500000000000001E-2</v>
      </c>
      <c r="H15" s="1"/>
      <c r="I15" s="1"/>
      <c r="J15" s="1"/>
      <c r="K15" s="1"/>
      <c r="L15" s="1"/>
      <c r="O15" s="1"/>
      <c r="P15" s="1"/>
    </row>
    <row r="16" spans="2:16">
      <c r="B16" s="3" t="s">
        <v>73</v>
      </c>
      <c r="C16" s="20">
        <v>220</v>
      </c>
      <c r="D16" s="5">
        <v>0.95</v>
      </c>
      <c r="E16" s="5">
        <v>0.05</v>
      </c>
      <c r="F16" s="6">
        <f t="shared" si="0"/>
        <v>1.0500000000000001E-2</v>
      </c>
      <c r="H16" s="1"/>
      <c r="I16" s="1"/>
      <c r="J16" s="1"/>
      <c r="K16" s="1"/>
      <c r="L16" s="1"/>
      <c r="O16" s="1"/>
      <c r="P16" s="1"/>
    </row>
    <row r="17" spans="2:16">
      <c r="B17" s="3"/>
      <c r="C17" s="11"/>
      <c r="D17" s="6"/>
      <c r="E17" s="6"/>
      <c r="F17" s="6"/>
      <c r="H17" s="1"/>
      <c r="I17" s="1"/>
      <c r="J17" s="1"/>
      <c r="K17" s="1"/>
      <c r="L17" s="1"/>
      <c r="O17" s="1"/>
      <c r="P17" s="1"/>
    </row>
    <row r="18" spans="2:16">
      <c r="B18" s="3" t="s">
        <v>82</v>
      </c>
      <c r="C18" s="11">
        <f>SUM(C6:C16)</f>
        <v>2270</v>
      </c>
      <c r="D18" s="6">
        <f>AVERAGE(D6:D16)</f>
        <v>0.95</v>
      </c>
      <c r="E18" s="6">
        <f>AVERAGE(E6:E16)</f>
        <v>4.9999999999999996E-2</v>
      </c>
      <c r="F18" s="6">
        <f>SUMPRODUCT(F6:F16,P57:P67)/P69</f>
        <v>1.0499999999999997E-2</v>
      </c>
      <c r="H18" s="1"/>
      <c r="I18" s="1"/>
      <c r="J18" s="1"/>
      <c r="K18" s="1"/>
      <c r="L18" s="1"/>
      <c r="O18" s="1"/>
      <c r="P18" s="1"/>
    </row>
    <row r="19" spans="2:16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2:16" ht="15.9">
      <c r="B20" s="68" t="s">
        <v>79</v>
      </c>
      <c r="C20" s="68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2:16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2:16">
      <c r="B22" s="25" t="s">
        <v>59</v>
      </c>
      <c r="C22" s="2" t="s">
        <v>38</v>
      </c>
      <c r="D22" s="2" t="s">
        <v>9</v>
      </c>
      <c r="E22" s="2" t="s">
        <v>39</v>
      </c>
      <c r="F22" s="2" t="s">
        <v>40</v>
      </c>
      <c r="G22" s="2" t="s">
        <v>41</v>
      </c>
      <c r="H22" s="2" t="s">
        <v>42</v>
      </c>
      <c r="I22" s="2" t="s">
        <v>43</v>
      </c>
      <c r="J22" s="2" t="s">
        <v>44</v>
      </c>
      <c r="K22" s="2" t="s">
        <v>45</v>
      </c>
      <c r="L22" s="2" t="s">
        <v>46</v>
      </c>
      <c r="M22" s="2" t="s">
        <v>47</v>
      </c>
      <c r="N22" s="2" t="s">
        <v>48</v>
      </c>
      <c r="O22" s="2" t="s">
        <v>49</v>
      </c>
      <c r="P22" s="1"/>
    </row>
    <row r="23" spans="2:16">
      <c r="B23" s="3" t="s">
        <v>236</v>
      </c>
      <c r="C23" s="23">
        <v>55</v>
      </c>
      <c r="D23" s="12">
        <v>47</v>
      </c>
      <c r="E23" s="12">
        <v>47</v>
      </c>
      <c r="F23" s="12">
        <v>47</v>
      </c>
      <c r="G23" s="12">
        <v>47</v>
      </c>
      <c r="H23" s="12">
        <v>47</v>
      </c>
      <c r="I23" s="12">
        <v>47</v>
      </c>
      <c r="J23" s="12">
        <v>47</v>
      </c>
      <c r="K23" s="12">
        <v>47</v>
      </c>
      <c r="L23" s="12">
        <v>47</v>
      </c>
      <c r="M23" s="12">
        <v>47</v>
      </c>
      <c r="N23" s="12">
        <v>47</v>
      </c>
      <c r="O23" s="12">
        <v>47</v>
      </c>
      <c r="P23" s="1"/>
    </row>
    <row r="24" spans="2:16">
      <c r="B24" s="3" t="s">
        <v>64</v>
      </c>
      <c r="C24" s="23">
        <v>65</v>
      </c>
      <c r="D24" s="12">
        <v>57</v>
      </c>
      <c r="E24" s="12">
        <v>57</v>
      </c>
      <c r="F24" s="12">
        <v>57</v>
      </c>
      <c r="G24" s="12">
        <v>57</v>
      </c>
      <c r="H24" s="12">
        <v>57</v>
      </c>
      <c r="I24" s="12">
        <v>57</v>
      </c>
      <c r="J24" s="12">
        <v>57</v>
      </c>
      <c r="K24" s="12">
        <v>57</v>
      </c>
      <c r="L24" s="12">
        <v>57</v>
      </c>
      <c r="M24" s="12">
        <v>57</v>
      </c>
      <c r="N24" s="12">
        <v>57</v>
      </c>
      <c r="O24" s="12">
        <v>57</v>
      </c>
      <c r="P24" s="1"/>
    </row>
    <row r="25" spans="2:16">
      <c r="B25" s="3" t="s">
        <v>65</v>
      </c>
      <c r="C25" s="23">
        <v>70</v>
      </c>
      <c r="D25" s="12">
        <v>62</v>
      </c>
      <c r="E25" s="12">
        <v>62</v>
      </c>
      <c r="F25" s="12">
        <v>62</v>
      </c>
      <c r="G25" s="12">
        <v>62</v>
      </c>
      <c r="H25" s="12">
        <v>62</v>
      </c>
      <c r="I25" s="12">
        <v>62</v>
      </c>
      <c r="J25" s="12">
        <v>62</v>
      </c>
      <c r="K25" s="12">
        <v>62</v>
      </c>
      <c r="L25" s="12">
        <v>62</v>
      </c>
      <c r="M25" s="12">
        <v>62</v>
      </c>
      <c r="N25" s="12">
        <v>62</v>
      </c>
      <c r="O25" s="12">
        <v>62</v>
      </c>
      <c r="P25" s="1"/>
    </row>
    <row r="26" spans="2:16">
      <c r="B26" s="3" t="s">
        <v>66</v>
      </c>
      <c r="C26" s="23">
        <v>75</v>
      </c>
      <c r="D26" s="12">
        <v>67</v>
      </c>
      <c r="E26" s="12">
        <v>67</v>
      </c>
      <c r="F26" s="12">
        <v>67</v>
      </c>
      <c r="G26" s="12">
        <v>67</v>
      </c>
      <c r="H26" s="12">
        <v>67</v>
      </c>
      <c r="I26" s="12">
        <v>67</v>
      </c>
      <c r="J26" s="12">
        <v>67</v>
      </c>
      <c r="K26" s="12">
        <v>67</v>
      </c>
      <c r="L26" s="12">
        <v>67</v>
      </c>
      <c r="M26" s="12">
        <v>67</v>
      </c>
      <c r="N26" s="12">
        <v>67</v>
      </c>
      <c r="O26" s="12">
        <v>67</v>
      </c>
      <c r="P26" s="1"/>
    </row>
    <row r="27" spans="2:16">
      <c r="B27" s="3" t="s">
        <v>67</v>
      </c>
      <c r="C27" s="23">
        <v>60</v>
      </c>
      <c r="D27" s="12">
        <v>52</v>
      </c>
      <c r="E27" s="12">
        <v>52</v>
      </c>
      <c r="F27" s="12">
        <v>52</v>
      </c>
      <c r="G27" s="12">
        <v>52</v>
      </c>
      <c r="H27" s="12">
        <v>52</v>
      </c>
      <c r="I27" s="12">
        <v>52</v>
      </c>
      <c r="J27" s="12">
        <v>52</v>
      </c>
      <c r="K27" s="12">
        <v>52</v>
      </c>
      <c r="L27" s="12">
        <v>52</v>
      </c>
      <c r="M27" s="12">
        <v>52</v>
      </c>
      <c r="N27" s="12">
        <v>52</v>
      </c>
      <c r="O27" s="12">
        <v>52</v>
      </c>
      <c r="P27" s="1"/>
    </row>
    <row r="28" spans="2:16">
      <c r="B28" s="3" t="s">
        <v>68</v>
      </c>
      <c r="C28" s="23">
        <v>58</v>
      </c>
      <c r="D28" s="12">
        <v>50</v>
      </c>
      <c r="E28" s="12">
        <v>50</v>
      </c>
      <c r="F28" s="12">
        <v>50</v>
      </c>
      <c r="G28" s="12">
        <v>50</v>
      </c>
      <c r="H28" s="12">
        <v>50</v>
      </c>
      <c r="I28" s="12">
        <v>50</v>
      </c>
      <c r="J28" s="12">
        <v>50</v>
      </c>
      <c r="K28" s="12">
        <v>50</v>
      </c>
      <c r="L28" s="12">
        <v>50</v>
      </c>
      <c r="M28" s="12">
        <v>50</v>
      </c>
      <c r="N28" s="12">
        <v>50</v>
      </c>
      <c r="O28" s="12">
        <v>50</v>
      </c>
      <c r="P28" s="1"/>
    </row>
    <row r="29" spans="2:16">
      <c r="B29" s="3" t="s">
        <v>69</v>
      </c>
      <c r="C29" s="23">
        <v>70</v>
      </c>
      <c r="D29" s="12">
        <v>62</v>
      </c>
      <c r="E29" s="12">
        <v>62</v>
      </c>
      <c r="F29" s="12">
        <v>62</v>
      </c>
      <c r="G29" s="12">
        <v>62</v>
      </c>
      <c r="H29" s="12">
        <v>62</v>
      </c>
      <c r="I29" s="12">
        <v>62</v>
      </c>
      <c r="J29" s="12">
        <v>62</v>
      </c>
      <c r="K29" s="12">
        <v>62</v>
      </c>
      <c r="L29" s="12">
        <v>62</v>
      </c>
      <c r="M29" s="12">
        <v>62</v>
      </c>
      <c r="N29" s="12">
        <v>62</v>
      </c>
      <c r="O29" s="12">
        <v>62</v>
      </c>
      <c r="P29" s="1"/>
    </row>
    <row r="30" spans="2:16">
      <c r="B30" s="3" t="s">
        <v>70</v>
      </c>
      <c r="C30" s="23">
        <v>62</v>
      </c>
      <c r="D30" s="12">
        <v>54</v>
      </c>
      <c r="E30" s="12">
        <v>54</v>
      </c>
      <c r="F30" s="12">
        <v>54</v>
      </c>
      <c r="G30" s="12">
        <v>54</v>
      </c>
      <c r="H30" s="12">
        <v>54</v>
      </c>
      <c r="I30" s="12">
        <v>54</v>
      </c>
      <c r="J30" s="12">
        <v>54</v>
      </c>
      <c r="K30" s="12">
        <v>54</v>
      </c>
      <c r="L30" s="12">
        <v>54</v>
      </c>
      <c r="M30" s="12">
        <v>54</v>
      </c>
      <c r="N30" s="12">
        <v>54</v>
      </c>
      <c r="O30" s="12">
        <v>54</v>
      </c>
      <c r="P30" s="1"/>
    </row>
    <row r="31" spans="2:16">
      <c r="B31" s="3" t="s">
        <v>71</v>
      </c>
      <c r="C31" s="23">
        <v>65</v>
      </c>
      <c r="D31" s="12">
        <v>57</v>
      </c>
      <c r="E31" s="12">
        <v>57</v>
      </c>
      <c r="F31" s="12">
        <v>57</v>
      </c>
      <c r="G31" s="12">
        <v>57</v>
      </c>
      <c r="H31" s="12">
        <v>57</v>
      </c>
      <c r="I31" s="12">
        <v>57</v>
      </c>
      <c r="J31" s="12">
        <v>57</v>
      </c>
      <c r="K31" s="12">
        <v>57</v>
      </c>
      <c r="L31" s="12">
        <v>57</v>
      </c>
      <c r="M31" s="12">
        <v>57</v>
      </c>
      <c r="N31" s="12">
        <v>57</v>
      </c>
      <c r="O31" s="12">
        <v>57</v>
      </c>
      <c r="P31" s="1"/>
    </row>
    <row r="32" spans="2:16">
      <c r="B32" s="3" t="s">
        <v>72</v>
      </c>
      <c r="C32" s="23">
        <v>66</v>
      </c>
      <c r="D32" s="12">
        <v>58</v>
      </c>
      <c r="E32" s="12">
        <v>58</v>
      </c>
      <c r="F32" s="12">
        <v>58</v>
      </c>
      <c r="G32" s="12">
        <v>58</v>
      </c>
      <c r="H32" s="12">
        <v>58</v>
      </c>
      <c r="I32" s="12">
        <v>58</v>
      </c>
      <c r="J32" s="12">
        <v>58</v>
      </c>
      <c r="K32" s="12">
        <v>58</v>
      </c>
      <c r="L32" s="12">
        <v>58</v>
      </c>
      <c r="M32" s="12">
        <v>58</v>
      </c>
      <c r="N32" s="12">
        <v>58</v>
      </c>
      <c r="O32" s="12">
        <v>58</v>
      </c>
      <c r="P32" s="1"/>
    </row>
    <row r="33" spans="2:16">
      <c r="B33" s="3" t="s">
        <v>73</v>
      </c>
      <c r="C33" s="23">
        <v>80</v>
      </c>
      <c r="D33" s="12">
        <v>72</v>
      </c>
      <c r="E33" s="12">
        <v>72</v>
      </c>
      <c r="F33" s="12">
        <v>72</v>
      </c>
      <c r="G33" s="12">
        <v>72</v>
      </c>
      <c r="H33" s="12">
        <v>72</v>
      </c>
      <c r="I33" s="12">
        <v>72</v>
      </c>
      <c r="J33" s="12">
        <v>72</v>
      </c>
      <c r="K33" s="12">
        <v>72</v>
      </c>
      <c r="L33" s="12">
        <v>72</v>
      </c>
      <c r="M33" s="12">
        <v>72</v>
      </c>
      <c r="N33" s="12">
        <v>72</v>
      </c>
      <c r="O33" s="12">
        <v>72</v>
      </c>
      <c r="P33" s="1"/>
    </row>
    <row r="34" spans="2:16">
      <c r="B34" s="3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2:16" s="47" customFormat="1">
      <c r="B35" s="43" t="s">
        <v>82</v>
      </c>
      <c r="C35" s="74">
        <f>SUMPRODUCT(C23:C33,C74:C84)/C86</f>
        <v>63.927442339609804</v>
      </c>
      <c r="D35" s="74">
        <f t="shared" ref="D35:O35" si="1">SUMPRODUCT(D23:D33,D74:D84)/D86</f>
        <v>56.08187513074742</v>
      </c>
      <c r="E35" s="74">
        <f t="shared" si="1"/>
        <v>56.08187513074742</v>
      </c>
      <c r="F35" s="74">
        <f t="shared" si="1"/>
        <v>56.08187513074742</v>
      </c>
      <c r="G35" s="74">
        <f t="shared" si="1"/>
        <v>56.08187513074742</v>
      </c>
      <c r="H35" s="74">
        <f t="shared" si="1"/>
        <v>56.08187513074742</v>
      </c>
      <c r="I35" s="74">
        <f t="shared" si="1"/>
        <v>56.08187513074742</v>
      </c>
      <c r="J35" s="74">
        <f t="shared" si="1"/>
        <v>56.08187513074742</v>
      </c>
      <c r="K35" s="74">
        <f t="shared" si="1"/>
        <v>56.08187513074742</v>
      </c>
      <c r="L35" s="74">
        <f t="shared" si="1"/>
        <v>56.08187513074742</v>
      </c>
      <c r="M35" s="74">
        <f t="shared" si="1"/>
        <v>56.08187513074742</v>
      </c>
      <c r="N35" s="74">
        <f t="shared" si="1"/>
        <v>56.08187513074742</v>
      </c>
      <c r="O35" s="74">
        <f t="shared" si="1"/>
        <v>56.08187513074742</v>
      </c>
      <c r="P35" s="45"/>
    </row>
    <row r="36" spans="2:16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2:16" ht="15.9">
      <c r="B37" s="68" t="s">
        <v>80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2:16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2:16">
      <c r="B39" s="25" t="s">
        <v>59</v>
      </c>
      <c r="C39" s="2" t="s">
        <v>38</v>
      </c>
      <c r="D39" s="2" t="s">
        <v>9</v>
      </c>
      <c r="E39" s="2" t="s">
        <v>39</v>
      </c>
      <c r="F39" s="2" t="s">
        <v>40</v>
      </c>
      <c r="G39" s="2" t="s">
        <v>41</v>
      </c>
      <c r="H39" s="2" t="s">
        <v>42</v>
      </c>
      <c r="I39" s="2" t="s">
        <v>43</v>
      </c>
      <c r="J39" s="2" t="s">
        <v>44</v>
      </c>
      <c r="K39" s="2" t="s">
        <v>45</v>
      </c>
      <c r="L39" s="2" t="s">
        <v>46</v>
      </c>
      <c r="M39" s="2" t="s">
        <v>47</v>
      </c>
      <c r="N39" s="2" t="s">
        <v>48</v>
      </c>
      <c r="O39" s="2" t="s">
        <v>49</v>
      </c>
      <c r="P39" s="1"/>
    </row>
    <row r="40" spans="2:16">
      <c r="B40" s="3" t="s">
        <v>236</v>
      </c>
      <c r="C40" s="1"/>
      <c r="D40" s="70">
        <f t="shared" ref="D40:O40" si="2">MAX(0,(1-$D6)*0.12+MAX(0,45-D23)*0.004)</f>
        <v>6.0000000000000053E-3</v>
      </c>
      <c r="E40" s="70">
        <f t="shared" si="2"/>
        <v>6.0000000000000053E-3</v>
      </c>
      <c r="F40" s="70">
        <f t="shared" si="2"/>
        <v>6.0000000000000053E-3</v>
      </c>
      <c r="G40" s="70">
        <f t="shared" si="2"/>
        <v>6.0000000000000053E-3</v>
      </c>
      <c r="H40" s="70">
        <f t="shared" si="2"/>
        <v>6.0000000000000053E-3</v>
      </c>
      <c r="I40" s="70">
        <f t="shared" si="2"/>
        <v>6.0000000000000053E-3</v>
      </c>
      <c r="J40" s="70">
        <f t="shared" si="2"/>
        <v>6.0000000000000053E-3</v>
      </c>
      <c r="K40" s="70">
        <f t="shared" si="2"/>
        <v>6.0000000000000053E-3</v>
      </c>
      <c r="L40" s="70">
        <f t="shared" si="2"/>
        <v>6.0000000000000053E-3</v>
      </c>
      <c r="M40" s="70">
        <f t="shared" si="2"/>
        <v>6.0000000000000053E-3</v>
      </c>
      <c r="N40" s="70">
        <f t="shared" si="2"/>
        <v>6.0000000000000053E-3</v>
      </c>
      <c r="O40" s="70">
        <f t="shared" si="2"/>
        <v>6.0000000000000053E-3</v>
      </c>
      <c r="P40" s="1"/>
    </row>
    <row r="41" spans="2:16">
      <c r="B41" s="3" t="s">
        <v>64</v>
      </c>
      <c r="C41" s="1"/>
      <c r="D41" s="70">
        <f t="shared" ref="D41:O41" si="3">MAX(0,(1-$D7)*0.12+MAX(0,45-D24)*0.004)</f>
        <v>6.0000000000000053E-3</v>
      </c>
      <c r="E41" s="70">
        <f t="shared" si="3"/>
        <v>6.0000000000000053E-3</v>
      </c>
      <c r="F41" s="70">
        <f t="shared" si="3"/>
        <v>6.0000000000000053E-3</v>
      </c>
      <c r="G41" s="70">
        <f t="shared" si="3"/>
        <v>6.0000000000000053E-3</v>
      </c>
      <c r="H41" s="70">
        <f t="shared" si="3"/>
        <v>6.0000000000000053E-3</v>
      </c>
      <c r="I41" s="70">
        <f t="shared" si="3"/>
        <v>6.0000000000000053E-3</v>
      </c>
      <c r="J41" s="70">
        <f t="shared" si="3"/>
        <v>6.0000000000000053E-3</v>
      </c>
      <c r="K41" s="70">
        <f t="shared" si="3"/>
        <v>6.0000000000000053E-3</v>
      </c>
      <c r="L41" s="70">
        <f t="shared" si="3"/>
        <v>6.0000000000000053E-3</v>
      </c>
      <c r="M41" s="70">
        <f t="shared" si="3"/>
        <v>6.0000000000000053E-3</v>
      </c>
      <c r="N41" s="70">
        <f t="shared" si="3"/>
        <v>6.0000000000000053E-3</v>
      </c>
      <c r="O41" s="70">
        <f t="shared" si="3"/>
        <v>6.0000000000000053E-3</v>
      </c>
      <c r="P41" s="1"/>
    </row>
    <row r="42" spans="2:16">
      <c r="B42" s="3" t="s">
        <v>65</v>
      </c>
      <c r="C42" s="1"/>
      <c r="D42" s="70">
        <f t="shared" ref="D42:O42" si="4">MAX(0,(1-$D8)*0.12+MAX(0,45-D25)*0.004)</f>
        <v>6.0000000000000053E-3</v>
      </c>
      <c r="E42" s="70">
        <f t="shared" si="4"/>
        <v>6.0000000000000053E-3</v>
      </c>
      <c r="F42" s="70">
        <f t="shared" si="4"/>
        <v>6.0000000000000053E-3</v>
      </c>
      <c r="G42" s="70">
        <f t="shared" si="4"/>
        <v>6.0000000000000053E-3</v>
      </c>
      <c r="H42" s="70">
        <f t="shared" si="4"/>
        <v>6.0000000000000053E-3</v>
      </c>
      <c r="I42" s="70">
        <f t="shared" si="4"/>
        <v>6.0000000000000053E-3</v>
      </c>
      <c r="J42" s="70">
        <f t="shared" si="4"/>
        <v>6.0000000000000053E-3</v>
      </c>
      <c r="K42" s="70">
        <f t="shared" si="4"/>
        <v>6.0000000000000053E-3</v>
      </c>
      <c r="L42" s="70">
        <f t="shared" si="4"/>
        <v>6.0000000000000053E-3</v>
      </c>
      <c r="M42" s="70">
        <f t="shared" si="4"/>
        <v>6.0000000000000053E-3</v>
      </c>
      <c r="N42" s="70">
        <f t="shared" si="4"/>
        <v>6.0000000000000053E-3</v>
      </c>
      <c r="O42" s="70">
        <f t="shared" si="4"/>
        <v>6.0000000000000053E-3</v>
      </c>
      <c r="P42" s="1"/>
    </row>
    <row r="43" spans="2:16">
      <c r="B43" s="3" t="s">
        <v>66</v>
      </c>
      <c r="C43" s="1"/>
      <c r="D43" s="70">
        <f t="shared" ref="D43:O43" si="5">MAX(0,(1-$D9)*0.12+MAX(0,45-D26)*0.004)</f>
        <v>6.0000000000000053E-3</v>
      </c>
      <c r="E43" s="70">
        <f t="shared" si="5"/>
        <v>6.0000000000000053E-3</v>
      </c>
      <c r="F43" s="70">
        <f t="shared" si="5"/>
        <v>6.0000000000000053E-3</v>
      </c>
      <c r="G43" s="70">
        <f t="shared" si="5"/>
        <v>6.0000000000000053E-3</v>
      </c>
      <c r="H43" s="70">
        <f t="shared" si="5"/>
        <v>6.0000000000000053E-3</v>
      </c>
      <c r="I43" s="70">
        <f t="shared" si="5"/>
        <v>6.0000000000000053E-3</v>
      </c>
      <c r="J43" s="70">
        <f t="shared" si="5"/>
        <v>6.0000000000000053E-3</v>
      </c>
      <c r="K43" s="70">
        <f t="shared" si="5"/>
        <v>6.0000000000000053E-3</v>
      </c>
      <c r="L43" s="70">
        <f t="shared" si="5"/>
        <v>6.0000000000000053E-3</v>
      </c>
      <c r="M43" s="70">
        <f t="shared" si="5"/>
        <v>6.0000000000000053E-3</v>
      </c>
      <c r="N43" s="70">
        <f t="shared" si="5"/>
        <v>6.0000000000000053E-3</v>
      </c>
      <c r="O43" s="70">
        <f t="shared" si="5"/>
        <v>6.0000000000000053E-3</v>
      </c>
      <c r="P43" s="1"/>
    </row>
    <row r="44" spans="2:16">
      <c r="B44" s="3" t="s">
        <v>67</v>
      </c>
      <c r="C44" s="1"/>
      <c r="D44" s="70">
        <f t="shared" ref="D44:O44" si="6">MAX(0,(1-$D10)*0.12+MAX(0,45-D27)*0.004)</f>
        <v>6.0000000000000053E-3</v>
      </c>
      <c r="E44" s="70">
        <f t="shared" si="6"/>
        <v>6.0000000000000053E-3</v>
      </c>
      <c r="F44" s="70">
        <f t="shared" si="6"/>
        <v>6.0000000000000053E-3</v>
      </c>
      <c r="G44" s="70">
        <f t="shared" si="6"/>
        <v>6.0000000000000053E-3</v>
      </c>
      <c r="H44" s="70">
        <f t="shared" si="6"/>
        <v>6.0000000000000053E-3</v>
      </c>
      <c r="I44" s="70">
        <f t="shared" si="6"/>
        <v>6.0000000000000053E-3</v>
      </c>
      <c r="J44" s="70">
        <f t="shared" si="6"/>
        <v>6.0000000000000053E-3</v>
      </c>
      <c r="K44" s="70">
        <f t="shared" si="6"/>
        <v>6.0000000000000053E-3</v>
      </c>
      <c r="L44" s="70">
        <f t="shared" si="6"/>
        <v>6.0000000000000053E-3</v>
      </c>
      <c r="M44" s="70">
        <f t="shared" si="6"/>
        <v>6.0000000000000053E-3</v>
      </c>
      <c r="N44" s="70">
        <f t="shared" si="6"/>
        <v>6.0000000000000053E-3</v>
      </c>
      <c r="O44" s="70">
        <f t="shared" si="6"/>
        <v>6.0000000000000053E-3</v>
      </c>
      <c r="P44" s="1"/>
    </row>
    <row r="45" spans="2:16">
      <c r="B45" s="3" t="s">
        <v>68</v>
      </c>
      <c r="C45" s="1"/>
      <c r="D45" s="70">
        <f t="shared" ref="D45:O45" si="7">MAX(0,(1-$D11)*0.12+MAX(0,45-D28)*0.004)</f>
        <v>6.0000000000000053E-3</v>
      </c>
      <c r="E45" s="70">
        <f t="shared" si="7"/>
        <v>6.0000000000000053E-3</v>
      </c>
      <c r="F45" s="70">
        <f t="shared" si="7"/>
        <v>6.0000000000000053E-3</v>
      </c>
      <c r="G45" s="70">
        <f t="shared" si="7"/>
        <v>6.0000000000000053E-3</v>
      </c>
      <c r="H45" s="70">
        <f t="shared" si="7"/>
        <v>6.0000000000000053E-3</v>
      </c>
      <c r="I45" s="70">
        <f t="shared" si="7"/>
        <v>6.0000000000000053E-3</v>
      </c>
      <c r="J45" s="70">
        <f t="shared" si="7"/>
        <v>6.0000000000000053E-3</v>
      </c>
      <c r="K45" s="70">
        <f t="shared" si="7"/>
        <v>6.0000000000000053E-3</v>
      </c>
      <c r="L45" s="70">
        <f t="shared" si="7"/>
        <v>6.0000000000000053E-3</v>
      </c>
      <c r="M45" s="70">
        <f t="shared" si="7"/>
        <v>6.0000000000000053E-3</v>
      </c>
      <c r="N45" s="70">
        <f t="shared" si="7"/>
        <v>6.0000000000000053E-3</v>
      </c>
      <c r="O45" s="70">
        <f t="shared" si="7"/>
        <v>6.0000000000000053E-3</v>
      </c>
      <c r="P45" s="1"/>
    </row>
    <row r="46" spans="2:16">
      <c r="B46" s="3" t="s">
        <v>69</v>
      </c>
      <c r="C46" s="1"/>
      <c r="D46" s="70">
        <f t="shared" ref="D46:O46" si="8">MAX(0,(1-$D12)*0.12+MAX(0,45-D29)*0.004)</f>
        <v>6.0000000000000053E-3</v>
      </c>
      <c r="E46" s="70">
        <f t="shared" si="8"/>
        <v>6.0000000000000053E-3</v>
      </c>
      <c r="F46" s="70">
        <f t="shared" si="8"/>
        <v>6.0000000000000053E-3</v>
      </c>
      <c r="G46" s="70">
        <f t="shared" si="8"/>
        <v>6.0000000000000053E-3</v>
      </c>
      <c r="H46" s="70">
        <f t="shared" si="8"/>
        <v>6.0000000000000053E-3</v>
      </c>
      <c r="I46" s="70">
        <f t="shared" si="8"/>
        <v>6.0000000000000053E-3</v>
      </c>
      <c r="J46" s="70">
        <f t="shared" si="8"/>
        <v>6.0000000000000053E-3</v>
      </c>
      <c r="K46" s="70">
        <f t="shared" si="8"/>
        <v>6.0000000000000053E-3</v>
      </c>
      <c r="L46" s="70">
        <f t="shared" si="8"/>
        <v>6.0000000000000053E-3</v>
      </c>
      <c r="M46" s="70">
        <f t="shared" si="8"/>
        <v>6.0000000000000053E-3</v>
      </c>
      <c r="N46" s="70">
        <f t="shared" si="8"/>
        <v>6.0000000000000053E-3</v>
      </c>
      <c r="O46" s="70">
        <f t="shared" si="8"/>
        <v>6.0000000000000053E-3</v>
      </c>
      <c r="P46" s="1"/>
    </row>
    <row r="47" spans="2:16">
      <c r="B47" s="3" t="s">
        <v>70</v>
      </c>
      <c r="C47" s="1"/>
      <c r="D47" s="70">
        <f t="shared" ref="D47:O47" si="9">MAX(0,(1-$D13)*0.12+MAX(0,45-D30)*0.004)</f>
        <v>6.0000000000000053E-3</v>
      </c>
      <c r="E47" s="70">
        <f t="shared" si="9"/>
        <v>6.0000000000000053E-3</v>
      </c>
      <c r="F47" s="70">
        <f t="shared" si="9"/>
        <v>6.0000000000000053E-3</v>
      </c>
      <c r="G47" s="70">
        <f t="shared" si="9"/>
        <v>6.0000000000000053E-3</v>
      </c>
      <c r="H47" s="70">
        <f t="shared" si="9"/>
        <v>6.0000000000000053E-3</v>
      </c>
      <c r="I47" s="70">
        <f t="shared" si="9"/>
        <v>6.0000000000000053E-3</v>
      </c>
      <c r="J47" s="70">
        <f t="shared" si="9"/>
        <v>6.0000000000000053E-3</v>
      </c>
      <c r="K47" s="70">
        <f t="shared" si="9"/>
        <v>6.0000000000000053E-3</v>
      </c>
      <c r="L47" s="70">
        <f t="shared" si="9"/>
        <v>6.0000000000000053E-3</v>
      </c>
      <c r="M47" s="70">
        <f t="shared" si="9"/>
        <v>6.0000000000000053E-3</v>
      </c>
      <c r="N47" s="70">
        <f t="shared" si="9"/>
        <v>6.0000000000000053E-3</v>
      </c>
      <c r="O47" s="70">
        <f t="shared" si="9"/>
        <v>6.0000000000000053E-3</v>
      </c>
      <c r="P47" s="1"/>
    </row>
    <row r="48" spans="2:16">
      <c r="B48" s="3" t="s">
        <v>71</v>
      </c>
      <c r="C48" s="1"/>
      <c r="D48" s="70">
        <f t="shared" ref="D48:O48" si="10">MAX(0,(1-$D14)*0.12+MAX(0,45-D31)*0.004)</f>
        <v>6.0000000000000053E-3</v>
      </c>
      <c r="E48" s="70">
        <f t="shared" si="10"/>
        <v>6.0000000000000053E-3</v>
      </c>
      <c r="F48" s="70">
        <f t="shared" si="10"/>
        <v>6.0000000000000053E-3</v>
      </c>
      <c r="G48" s="70">
        <f t="shared" si="10"/>
        <v>6.0000000000000053E-3</v>
      </c>
      <c r="H48" s="70">
        <f t="shared" si="10"/>
        <v>6.0000000000000053E-3</v>
      </c>
      <c r="I48" s="70">
        <f t="shared" si="10"/>
        <v>6.0000000000000053E-3</v>
      </c>
      <c r="J48" s="70">
        <f t="shared" si="10"/>
        <v>6.0000000000000053E-3</v>
      </c>
      <c r="K48" s="70">
        <f t="shared" si="10"/>
        <v>6.0000000000000053E-3</v>
      </c>
      <c r="L48" s="70">
        <f t="shared" si="10"/>
        <v>6.0000000000000053E-3</v>
      </c>
      <c r="M48" s="70">
        <f t="shared" si="10"/>
        <v>6.0000000000000053E-3</v>
      </c>
      <c r="N48" s="70">
        <f t="shared" si="10"/>
        <v>6.0000000000000053E-3</v>
      </c>
      <c r="O48" s="70">
        <f t="shared" si="10"/>
        <v>6.0000000000000053E-3</v>
      </c>
      <c r="P48" s="1"/>
    </row>
    <row r="49" spans="2:16">
      <c r="B49" s="3" t="s">
        <v>72</v>
      </c>
      <c r="C49" s="1"/>
      <c r="D49" s="70">
        <f t="shared" ref="D49:O49" si="11">MAX(0,(1-$D15)*0.12+MAX(0,45-D32)*0.004)</f>
        <v>6.0000000000000053E-3</v>
      </c>
      <c r="E49" s="70">
        <f t="shared" si="11"/>
        <v>6.0000000000000053E-3</v>
      </c>
      <c r="F49" s="70">
        <f t="shared" si="11"/>
        <v>6.0000000000000053E-3</v>
      </c>
      <c r="G49" s="70">
        <f t="shared" si="11"/>
        <v>6.0000000000000053E-3</v>
      </c>
      <c r="H49" s="70">
        <f t="shared" si="11"/>
        <v>6.0000000000000053E-3</v>
      </c>
      <c r="I49" s="70">
        <f t="shared" si="11"/>
        <v>6.0000000000000053E-3</v>
      </c>
      <c r="J49" s="70">
        <f t="shared" si="11"/>
        <v>6.0000000000000053E-3</v>
      </c>
      <c r="K49" s="70">
        <f t="shared" si="11"/>
        <v>6.0000000000000053E-3</v>
      </c>
      <c r="L49" s="70">
        <f t="shared" si="11"/>
        <v>6.0000000000000053E-3</v>
      </c>
      <c r="M49" s="70">
        <f t="shared" si="11"/>
        <v>6.0000000000000053E-3</v>
      </c>
      <c r="N49" s="70">
        <f t="shared" si="11"/>
        <v>6.0000000000000053E-3</v>
      </c>
      <c r="O49" s="70">
        <f t="shared" si="11"/>
        <v>6.0000000000000053E-3</v>
      </c>
      <c r="P49" s="1"/>
    </row>
    <row r="50" spans="2:16">
      <c r="B50" s="3" t="s">
        <v>73</v>
      </c>
      <c r="C50" s="1"/>
      <c r="D50" s="70">
        <f t="shared" ref="D50:O50" si="12">MAX(0,(1-$D16)*0.12+MAX(0,45-D33)*0.004)</f>
        <v>6.0000000000000053E-3</v>
      </c>
      <c r="E50" s="70">
        <f t="shared" si="12"/>
        <v>6.0000000000000053E-3</v>
      </c>
      <c r="F50" s="70">
        <f t="shared" si="12"/>
        <v>6.0000000000000053E-3</v>
      </c>
      <c r="G50" s="70">
        <f t="shared" si="12"/>
        <v>6.0000000000000053E-3</v>
      </c>
      <c r="H50" s="70">
        <f t="shared" si="12"/>
        <v>6.0000000000000053E-3</v>
      </c>
      <c r="I50" s="70">
        <f t="shared" si="12"/>
        <v>6.0000000000000053E-3</v>
      </c>
      <c r="J50" s="70">
        <f t="shared" si="12"/>
        <v>6.0000000000000053E-3</v>
      </c>
      <c r="K50" s="70">
        <f t="shared" si="12"/>
        <v>6.0000000000000053E-3</v>
      </c>
      <c r="L50" s="70">
        <f t="shared" si="12"/>
        <v>6.0000000000000053E-3</v>
      </c>
      <c r="M50" s="70">
        <f t="shared" si="12"/>
        <v>6.0000000000000053E-3</v>
      </c>
      <c r="N50" s="70">
        <f t="shared" si="12"/>
        <v>6.0000000000000053E-3</v>
      </c>
      <c r="O50" s="70">
        <f t="shared" si="12"/>
        <v>6.0000000000000053E-3</v>
      </c>
      <c r="P50" s="1"/>
    </row>
    <row r="51" spans="2:16">
      <c r="B51" s="3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2:16">
      <c r="B52" s="3" t="s">
        <v>82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2:16"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2:16" ht="15.9">
      <c r="B54" s="68" t="s">
        <v>241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2:16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2:16">
      <c r="B56" s="25" t="s">
        <v>59</v>
      </c>
      <c r="C56" s="2" t="s">
        <v>38</v>
      </c>
      <c r="D56" s="2" t="s">
        <v>9</v>
      </c>
      <c r="E56" s="2" t="s">
        <v>39</v>
      </c>
      <c r="F56" s="2" t="s">
        <v>40</v>
      </c>
      <c r="G56" s="2" t="s">
        <v>41</v>
      </c>
      <c r="H56" s="2" t="s">
        <v>42</v>
      </c>
      <c r="I56" s="2" t="s">
        <v>43</v>
      </c>
      <c r="J56" s="2" t="s">
        <v>44</v>
      </c>
      <c r="K56" s="2" t="s">
        <v>45</v>
      </c>
      <c r="L56" s="2" t="s">
        <v>46</v>
      </c>
      <c r="M56" s="2" t="s">
        <v>47</v>
      </c>
      <c r="N56" s="2" t="s">
        <v>48</v>
      </c>
      <c r="O56" s="2" t="s">
        <v>49</v>
      </c>
      <c r="P56" s="25" t="s">
        <v>136</v>
      </c>
    </row>
    <row r="57" spans="2:16">
      <c r="B57" s="3" t="s">
        <v>236</v>
      </c>
      <c r="C57" s="11">
        <f>+'02_Pricing'!C41*(1-'03_CatMan_DDI'!C40)</f>
        <v>10004.904</v>
      </c>
      <c r="D57" s="11">
        <f>+'02_Pricing'!D41*(1-'03_CatMan_DDI'!D40)</f>
        <v>9944.8745760000002</v>
      </c>
      <c r="E57" s="11">
        <f>+'02_Pricing'!E41*(1-'03_CatMan_DDI'!E40)</f>
        <v>9944.8745760000002</v>
      </c>
      <c r="F57" s="11">
        <f>+'02_Pricing'!F41*(1-'03_CatMan_DDI'!F40)</f>
        <v>9944.8745760000002</v>
      </c>
      <c r="G57" s="11">
        <f>+'02_Pricing'!G41*(1-'03_CatMan_DDI'!G40)</f>
        <v>9944.8745760000002</v>
      </c>
      <c r="H57" s="11">
        <f>+'02_Pricing'!H41*(1-'03_CatMan_DDI'!H40)</f>
        <v>9944.8745760000002</v>
      </c>
      <c r="I57" s="11">
        <f>+'02_Pricing'!I41*(1-'03_CatMan_DDI'!I40)</f>
        <v>9944.8745760000002</v>
      </c>
      <c r="J57" s="11">
        <f>+'02_Pricing'!J41*(1-'03_CatMan_DDI'!J40)</f>
        <v>9944.8745760000002</v>
      </c>
      <c r="K57" s="11">
        <f>+'02_Pricing'!K41*(1-'03_CatMan_DDI'!K40)</f>
        <v>9944.8745760000002</v>
      </c>
      <c r="L57" s="11">
        <f>+'02_Pricing'!L41*(1-'03_CatMan_DDI'!L40)</f>
        <v>9944.8745760000002</v>
      </c>
      <c r="M57" s="11">
        <f>+'02_Pricing'!M41*(1-'03_CatMan_DDI'!M40)</f>
        <v>9944.8745760000002</v>
      </c>
      <c r="N57" s="11">
        <f>+'02_Pricing'!N41*(1-'03_CatMan_DDI'!N40)</f>
        <v>9944.8745760000002</v>
      </c>
      <c r="O57" s="11">
        <f>+'02_Pricing'!O41*(1-'03_CatMan_DDI'!O40)</f>
        <v>9944.8745760000002</v>
      </c>
      <c r="P57" s="73">
        <f t="shared" ref="P57:P69" si="13">SUM(D57:O57)</f>
        <v>119338.49491200001</v>
      </c>
    </row>
    <row r="58" spans="2:16">
      <c r="B58" s="3" t="s">
        <v>64</v>
      </c>
      <c r="C58" s="11">
        <f>+'02_Pricing'!C42*(1-'03_CatMan_DDI'!C41)</f>
        <v>1500.7754006236555</v>
      </c>
      <c r="D58" s="11">
        <f>+'02_Pricing'!D42*(1-'03_CatMan_DDI'!D41)</f>
        <v>1491.7707482199137</v>
      </c>
      <c r="E58" s="11">
        <f>+'02_Pricing'!E42*(1-'03_CatMan_DDI'!E41)</f>
        <v>1491.7707482199137</v>
      </c>
      <c r="F58" s="11">
        <f>+'02_Pricing'!F42*(1-'03_CatMan_DDI'!F41)</f>
        <v>1491.7707482199137</v>
      </c>
      <c r="G58" s="11">
        <f>+'02_Pricing'!G42*(1-'03_CatMan_DDI'!G41)</f>
        <v>1491.7707482199137</v>
      </c>
      <c r="H58" s="11">
        <f>+'02_Pricing'!H42*(1-'03_CatMan_DDI'!H41)</f>
        <v>1491.7707482199137</v>
      </c>
      <c r="I58" s="11">
        <f>+'02_Pricing'!I42*(1-'03_CatMan_DDI'!I41)</f>
        <v>1491.7707482199137</v>
      </c>
      <c r="J58" s="11">
        <f>+'02_Pricing'!J42*(1-'03_CatMan_DDI'!J41)</f>
        <v>1491.7707482199137</v>
      </c>
      <c r="K58" s="11">
        <f>+'02_Pricing'!K42*(1-'03_CatMan_DDI'!K41)</f>
        <v>1491.7707482199137</v>
      </c>
      <c r="L58" s="11">
        <f>+'02_Pricing'!L42*(1-'03_CatMan_DDI'!L41)</f>
        <v>1491.7707482199137</v>
      </c>
      <c r="M58" s="11">
        <f>+'02_Pricing'!M42*(1-'03_CatMan_DDI'!M41)</f>
        <v>1491.7707482199137</v>
      </c>
      <c r="N58" s="11">
        <f>+'02_Pricing'!N42*(1-'03_CatMan_DDI'!N41)</f>
        <v>1491.7707482199137</v>
      </c>
      <c r="O58" s="11">
        <f>+'02_Pricing'!O42*(1-'03_CatMan_DDI'!O41)</f>
        <v>1491.7707482199137</v>
      </c>
      <c r="P58" s="73">
        <f t="shared" si="13"/>
        <v>17901.248978638963</v>
      </c>
    </row>
    <row r="59" spans="2:16">
      <c r="B59" s="3" t="s">
        <v>65</v>
      </c>
      <c r="C59" s="11">
        <f>+'02_Pricing'!C43*(1-'03_CatMan_DDI'!C42)</f>
        <v>2001.0338674982074</v>
      </c>
      <c r="D59" s="11">
        <f>+'02_Pricing'!D43*(1-'03_CatMan_DDI'!D42)</f>
        <v>1989.0276642932181</v>
      </c>
      <c r="E59" s="11">
        <f>+'02_Pricing'!E43*(1-'03_CatMan_DDI'!E42)</f>
        <v>1989.0276642932181</v>
      </c>
      <c r="F59" s="11">
        <f>+'02_Pricing'!F43*(1-'03_CatMan_DDI'!F42)</f>
        <v>1989.0276642932181</v>
      </c>
      <c r="G59" s="11">
        <f>+'02_Pricing'!G43*(1-'03_CatMan_DDI'!G42)</f>
        <v>1989.0276642932181</v>
      </c>
      <c r="H59" s="11">
        <f>+'02_Pricing'!H43*(1-'03_CatMan_DDI'!H42)</f>
        <v>1989.0276642932181</v>
      </c>
      <c r="I59" s="11">
        <f>+'02_Pricing'!I43*(1-'03_CatMan_DDI'!I42)</f>
        <v>1989.0276642932181</v>
      </c>
      <c r="J59" s="11">
        <f>+'02_Pricing'!J43*(1-'03_CatMan_DDI'!J42)</f>
        <v>1989.0276642932181</v>
      </c>
      <c r="K59" s="11">
        <f>+'02_Pricing'!K43*(1-'03_CatMan_DDI'!K42)</f>
        <v>1989.0276642932181</v>
      </c>
      <c r="L59" s="11">
        <f>+'02_Pricing'!L43*(1-'03_CatMan_DDI'!L42)</f>
        <v>1989.0276642932181</v>
      </c>
      <c r="M59" s="11">
        <f>+'02_Pricing'!M43*(1-'03_CatMan_DDI'!M42)</f>
        <v>1989.0276642932181</v>
      </c>
      <c r="N59" s="11">
        <f>+'02_Pricing'!N43*(1-'03_CatMan_DDI'!N42)</f>
        <v>1989.0276642932181</v>
      </c>
      <c r="O59" s="11">
        <f>+'02_Pricing'!O43*(1-'03_CatMan_DDI'!O42)</f>
        <v>1989.0276642932181</v>
      </c>
      <c r="P59" s="73">
        <f t="shared" si="13"/>
        <v>23868.331971518619</v>
      </c>
    </row>
    <row r="60" spans="2:16">
      <c r="B60" s="3" t="s">
        <v>66</v>
      </c>
      <c r="C60" s="11">
        <f>+'02_Pricing'!C44*(1-'03_CatMan_DDI'!C43)</f>
        <v>1750.9046340609316</v>
      </c>
      <c r="D60" s="11">
        <f>+'02_Pricing'!D44*(1-'03_CatMan_DDI'!D43)</f>
        <v>1740.399206256566</v>
      </c>
      <c r="E60" s="11">
        <f>+'02_Pricing'!E44*(1-'03_CatMan_DDI'!E43)</f>
        <v>1740.399206256566</v>
      </c>
      <c r="F60" s="11">
        <f>+'02_Pricing'!F44*(1-'03_CatMan_DDI'!F43)</f>
        <v>1740.399206256566</v>
      </c>
      <c r="G60" s="11">
        <f>+'02_Pricing'!G44*(1-'03_CatMan_DDI'!G43)</f>
        <v>1740.399206256566</v>
      </c>
      <c r="H60" s="11">
        <f>+'02_Pricing'!H44*(1-'03_CatMan_DDI'!H43)</f>
        <v>1740.399206256566</v>
      </c>
      <c r="I60" s="11">
        <f>+'02_Pricing'!I44*(1-'03_CatMan_DDI'!I43)</f>
        <v>1740.399206256566</v>
      </c>
      <c r="J60" s="11">
        <f>+'02_Pricing'!J44*(1-'03_CatMan_DDI'!J43)</f>
        <v>1740.399206256566</v>
      </c>
      <c r="K60" s="11">
        <f>+'02_Pricing'!K44*(1-'03_CatMan_DDI'!K43)</f>
        <v>1740.399206256566</v>
      </c>
      <c r="L60" s="11">
        <f>+'02_Pricing'!L44*(1-'03_CatMan_DDI'!L43)</f>
        <v>1740.399206256566</v>
      </c>
      <c r="M60" s="11">
        <f>+'02_Pricing'!M44*(1-'03_CatMan_DDI'!M43)</f>
        <v>1740.399206256566</v>
      </c>
      <c r="N60" s="11">
        <f>+'02_Pricing'!N44*(1-'03_CatMan_DDI'!N43)</f>
        <v>1740.399206256566</v>
      </c>
      <c r="O60" s="11">
        <f>+'02_Pricing'!O44*(1-'03_CatMan_DDI'!O43)</f>
        <v>1740.399206256566</v>
      </c>
      <c r="P60" s="73">
        <f t="shared" si="13"/>
        <v>20884.790475078797</v>
      </c>
    </row>
    <row r="61" spans="2:16">
      <c r="B61" s="3" t="s">
        <v>67</v>
      </c>
      <c r="C61" s="11">
        <f>+'02_Pricing'!C45*(1-'03_CatMan_DDI'!C44)</f>
        <v>3751.9385015591392</v>
      </c>
      <c r="D61" s="11">
        <f>+'02_Pricing'!D45*(1-'03_CatMan_DDI'!D44)</f>
        <v>3729.4268705497843</v>
      </c>
      <c r="E61" s="11">
        <f>+'02_Pricing'!E45*(1-'03_CatMan_DDI'!E44)</f>
        <v>3729.4268705497843</v>
      </c>
      <c r="F61" s="11">
        <f>+'02_Pricing'!F45*(1-'03_CatMan_DDI'!F44)</f>
        <v>3729.4268705497843</v>
      </c>
      <c r="G61" s="11">
        <f>+'02_Pricing'!G45*(1-'03_CatMan_DDI'!G44)</f>
        <v>3729.4268705497843</v>
      </c>
      <c r="H61" s="11">
        <f>+'02_Pricing'!H45*(1-'03_CatMan_DDI'!H44)</f>
        <v>3729.4268705497843</v>
      </c>
      <c r="I61" s="11">
        <f>+'02_Pricing'!I45*(1-'03_CatMan_DDI'!I44)</f>
        <v>3729.4268705497843</v>
      </c>
      <c r="J61" s="11">
        <f>+'02_Pricing'!J45*(1-'03_CatMan_DDI'!J44)</f>
        <v>3729.4268705497843</v>
      </c>
      <c r="K61" s="11">
        <f>+'02_Pricing'!K45*(1-'03_CatMan_DDI'!K44)</f>
        <v>3729.4268705497843</v>
      </c>
      <c r="L61" s="11">
        <f>+'02_Pricing'!L45*(1-'03_CatMan_DDI'!L44)</f>
        <v>3729.4268705497843</v>
      </c>
      <c r="M61" s="11">
        <f>+'02_Pricing'!M45*(1-'03_CatMan_DDI'!M44)</f>
        <v>3729.4268705497843</v>
      </c>
      <c r="N61" s="11">
        <f>+'02_Pricing'!N45*(1-'03_CatMan_DDI'!N44)</f>
        <v>3729.4268705497843</v>
      </c>
      <c r="O61" s="11">
        <f>+'02_Pricing'!O45*(1-'03_CatMan_DDI'!O44)</f>
        <v>3729.4268705497843</v>
      </c>
      <c r="P61" s="73">
        <f t="shared" si="13"/>
        <v>44753.122446597408</v>
      </c>
    </row>
    <row r="62" spans="2:16">
      <c r="B62" s="3" t="s">
        <v>68</v>
      </c>
      <c r="C62" s="11">
        <f>+'02_Pricing'!C46*(1-'03_CatMan_DDI'!C45)</f>
        <v>1250.6461671863797</v>
      </c>
      <c r="D62" s="11">
        <f>+'02_Pricing'!D46*(1-'03_CatMan_DDI'!D45)</f>
        <v>1243.1422901832614</v>
      </c>
      <c r="E62" s="11">
        <f>+'02_Pricing'!E46*(1-'03_CatMan_DDI'!E45)</f>
        <v>1243.1422901832614</v>
      </c>
      <c r="F62" s="11">
        <f>+'02_Pricing'!F46*(1-'03_CatMan_DDI'!F45)</f>
        <v>1243.1422901832614</v>
      </c>
      <c r="G62" s="11">
        <f>+'02_Pricing'!G46*(1-'03_CatMan_DDI'!G45)</f>
        <v>1243.1422901832614</v>
      </c>
      <c r="H62" s="11">
        <f>+'02_Pricing'!H46*(1-'03_CatMan_DDI'!H45)</f>
        <v>1243.1422901832614</v>
      </c>
      <c r="I62" s="11">
        <f>+'02_Pricing'!I46*(1-'03_CatMan_DDI'!I45)</f>
        <v>1243.1422901832614</v>
      </c>
      <c r="J62" s="11">
        <f>+'02_Pricing'!J46*(1-'03_CatMan_DDI'!J45)</f>
        <v>1243.1422901832614</v>
      </c>
      <c r="K62" s="11">
        <f>+'02_Pricing'!K46*(1-'03_CatMan_DDI'!K45)</f>
        <v>1243.1422901832614</v>
      </c>
      <c r="L62" s="11">
        <f>+'02_Pricing'!L46*(1-'03_CatMan_DDI'!L45)</f>
        <v>1243.1422901832614</v>
      </c>
      <c r="M62" s="11">
        <f>+'02_Pricing'!M46*(1-'03_CatMan_DDI'!M45)</f>
        <v>1243.1422901832614</v>
      </c>
      <c r="N62" s="11">
        <f>+'02_Pricing'!N46*(1-'03_CatMan_DDI'!N45)</f>
        <v>1243.1422901832614</v>
      </c>
      <c r="O62" s="11">
        <f>+'02_Pricing'!O46*(1-'03_CatMan_DDI'!O45)</f>
        <v>1243.1422901832614</v>
      </c>
      <c r="P62" s="73">
        <f t="shared" si="13"/>
        <v>14917.707482199135</v>
      </c>
    </row>
    <row r="63" spans="2:16">
      <c r="B63" s="3" t="s">
        <v>69</v>
      </c>
      <c r="C63" s="11">
        <f>+'02_Pricing'!C47*(1-'03_CatMan_DDI'!C46)</f>
        <v>2251.1631009354833</v>
      </c>
      <c r="D63" s="11">
        <f>+'02_Pricing'!D47*(1-'03_CatMan_DDI'!D46)</f>
        <v>2237.6561223298704</v>
      </c>
      <c r="E63" s="11">
        <f>+'02_Pricing'!E47*(1-'03_CatMan_DDI'!E46)</f>
        <v>2237.6561223298704</v>
      </c>
      <c r="F63" s="11">
        <f>+'02_Pricing'!F47*(1-'03_CatMan_DDI'!F46)</f>
        <v>2237.6561223298704</v>
      </c>
      <c r="G63" s="11">
        <f>+'02_Pricing'!G47*(1-'03_CatMan_DDI'!G46)</f>
        <v>2237.6561223298704</v>
      </c>
      <c r="H63" s="11">
        <f>+'02_Pricing'!H47*(1-'03_CatMan_DDI'!H46)</f>
        <v>2237.6561223298704</v>
      </c>
      <c r="I63" s="11">
        <f>+'02_Pricing'!I47*(1-'03_CatMan_DDI'!I46)</f>
        <v>2237.6561223298704</v>
      </c>
      <c r="J63" s="11">
        <f>+'02_Pricing'!J47*(1-'03_CatMan_DDI'!J46)</f>
        <v>2237.6561223298704</v>
      </c>
      <c r="K63" s="11">
        <f>+'02_Pricing'!K47*(1-'03_CatMan_DDI'!K46)</f>
        <v>2237.6561223298704</v>
      </c>
      <c r="L63" s="11">
        <f>+'02_Pricing'!L47*(1-'03_CatMan_DDI'!L46)</f>
        <v>2237.6561223298704</v>
      </c>
      <c r="M63" s="11">
        <f>+'02_Pricing'!M47*(1-'03_CatMan_DDI'!M46)</f>
        <v>2237.6561223298704</v>
      </c>
      <c r="N63" s="11">
        <f>+'02_Pricing'!N47*(1-'03_CatMan_DDI'!N46)</f>
        <v>2237.6561223298704</v>
      </c>
      <c r="O63" s="11">
        <f>+'02_Pricing'!O47*(1-'03_CatMan_DDI'!O46)</f>
        <v>2237.6561223298704</v>
      </c>
      <c r="P63" s="73">
        <f t="shared" si="13"/>
        <v>26851.873467958445</v>
      </c>
    </row>
    <row r="64" spans="2:16">
      <c r="B64" s="3" t="s">
        <v>70</v>
      </c>
      <c r="C64" s="11">
        <f>+'02_Pricing'!C48*(1-'03_CatMan_DDI'!C47)</f>
        <v>1125.5815504677416</v>
      </c>
      <c r="D64" s="11">
        <f>+'02_Pricing'!D48*(1-'03_CatMan_DDI'!D47)</f>
        <v>1118.8280611649352</v>
      </c>
      <c r="E64" s="11">
        <f>+'02_Pricing'!E48*(1-'03_CatMan_DDI'!E47)</f>
        <v>1118.8280611649352</v>
      </c>
      <c r="F64" s="11">
        <f>+'02_Pricing'!F48*(1-'03_CatMan_DDI'!F47)</f>
        <v>1118.8280611649352</v>
      </c>
      <c r="G64" s="11">
        <f>+'02_Pricing'!G48*(1-'03_CatMan_DDI'!G47)</f>
        <v>1118.8280611649352</v>
      </c>
      <c r="H64" s="11">
        <f>+'02_Pricing'!H48*(1-'03_CatMan_DDI'!H47)</f>
        <v>1118.8280611649352</v>
      </c>
      <c r="I64" s="11">
        <f>+'02_Pricing'!I48*(1-'03_CatMan_DDI'!I47)</f>
        <v>1118.8280611649352</v>
      </c>
      <c r="J64" s="11">
        <f>+'02_Pricing'!J48*(1-'03_CatMan_DDI'!J47)</f>
        <v>1118.8280611649352</v>
      </c>
      <c r="K64" s="11">
        <f>+'02_Pricing'!K48*(1-'03_CatMan_DDI'!K47)</f>
        <v>1118.8280611649352</v>
      </c>
      <c r="L64" s="11">
        <f>+'02_Pricing'!L48*(1-'03_CatMan_DDI'!L47)</f>
        <v>1118.8280611649352</v>
      </c>
      <c r="M64" s="11">
        <f>+'02_Pricing'!M48*(1-'03_CatMan_DDI'!M47)</f>
        <v>1118.8280611649352</v>
      </c>
      <c r="N64" s="11">
        <f>+'02_Pricing'!N48*(1-'03_CatMan_DDI'!N47)</f>
        <v>1118.8280611649352</v>
      </c>
      <c r="O64" s="11">
        <f>+'02_Pricing'!O48*(1-'03_CatMan_DDI'!O47)</f>
        <v>1118.8280611649352</v>
      </c>
      <c r="P64" s="73">
        <f t="shared" si="13"/>
        <v>13425.936733979222</v>
      </c>
    </row>
    <row r="65" spans="2:16">
      <c r="B65" s="3" t="s">
        <v>71</v>
      </c>
      <c r="C65" s="11">
        <f>+'02_Pricing'!C49*(1-'03_CatMan_DDI'!C48)</f>
        <v>1375.7107839050177</v>
      </c>
      <c r="D65" s="11">
        <f>+'02_Pricing'!D49*(1-'03_CatMan_DDI'!D48)</f>
        <v>1367.4565192015875</v>
      </c>
      <c r="E65" s="11">
        <f>+'02_Pricing'!E49*(1-'03_CatMan_DDI'!E48)</f>
        <v>1367.4565192015875</v>
      </c>
      <c r="F65" s="11">
        <f>+'02_Pricing'!F49*(1-'03_CatMan_DDI'!F48)</f>
        <v>1367.4565192015875</v>
      </c>
      <c r="G65" s="11">
        <f>+'02_Pricing'!G49*(1-'03_CatMan_DDI'!G48)</f>
        <v>1367.4565192015875</v>
      </c>
      <c r="H65" s="11">
        <f>+'02_Pricing'!H49*(1-'03_CatMan_DDI'!H48)</f>
        <v>1367.4565192015875</v>
      </c>
      <c r="I65" s="11">
        <f>+'02_Pricing'!I49*(1-'03_CatMan_DDI'!I48)</f>
        <v>1367.4565192015875</v>
      </c>
      <c r="J65" s="11">
        <f>+'02_Pricing'!J49*(1-'03_CatMan_DDI'!J48)</f>
        <v>1367.4565192015875</v>
      </c>
      <c r="K65" s="11">
        <f>+'02_Pricing'!K49*(1-'03_CatMan_DDI'!K48)</f>
        <v>1367.4565192015875</v>
      </c>
      <c r="L65" s="11">
        <f>+'02_Pricing'!L49*(1-'03_CatMan_DDI'!L48)</f>
        <v>1367.4565192015875</v>
      </c>
      <c r="M65" s="11">
        <f>+'02_Pricing'!M49*(1-'03_CatMan_DDI'!M48)</f>
        <v>1367.4565192015875</v>
      </c>
      <c r="N65" s="11">
        <f>+'02_Pricing'!N49*(1-'03_CatMan_DDI'!N48)</f>
        <v>1367.4565192015875</v>
      </c>
      <c r="O65" s="11">
        <f>+'02_Pricing'!O49*(1-'03_CatMan_DDI'!O48)</f>
        <v>1367.4565192015875</v>
      </c>
      <c r="P65" s="73">
        <f t="shared" si="13"/>
        <v>16409.478230419048</v>
      </c>
    </row>
    <row r="66" spans="2:16">
      <c r="B66" s="3" t="s">
        <v>72</v>
      </c>
      <c r="C66" s="11">
        <f>+'02_Pricing'!C50*(1-'03_CatMan_DDI'!C49)</f>
        <v>1625.8400173422935</v>
      </c>
      <c r="D66" s="11">
        <f>+'02_Pricing'!D50*(1-'03_CatMan_DDI'!D49)</f>
        <v>1616.0849772382398</v>
      </c>
      <c r="E66" s="11">
        <f>+'02_Pricing'!E50*(1-'03_CatMan_DDI'!E49)</f>
        <v>1616.0849772382398</v>
      </c>
      <c r="F66" s="11">
        <f>+'02_Pricing'!F50*(1-'03_CatMan_DDI'!F49)</f>
        <v>1616.0849772382398</v>
      </c>
      <c r="G66" s="11">
        <f>+'02_Pricing'!G50*(1-'03_CatMan_DDI'!G49)</f>
        <v>1616.0849772382398</v>
      </c>
      <c r="H66" s="11">
        <f>+'02_Pricing'!H50*(1-'03_CatMan_DDI'!H49)</f>
        <v>1616.0849772382398</v>
      </c>
      <c r="I66" s="11">
        <f>+'02_Pricing'!I50*(1-'03_CatMan_DDI'!I49)</f>
        <v>1616.0849772382398</v>
      </c>
      <c r="J66" s="11">
        <f>+'02_Pricing'!J50*(1-'03_CatMan_DDI'!J49)</f>
        <v>1616.0849772382398</v>
      </c>
      <c r="K66" s="11">
        <f>+'02_Pricing'!K50*(1-'03_CatMan_DDI'!K49)</f>
        <v>1616.0849772382398</v>
      </c>
      <c r="L66" s="11">
        <f>+'02_Pricing'!L50*(1-'03_CatMan_DDI'!L49)</f>
        <v>1616.0849772382398</v>
      </c>
      <c r="M66" s="11">
        <f>+'02_Pricing'!M50*(1-'03_CatMan_DDI'!M49)</f>
        <v>1616.0849772382398</v>
      </c>
      <c r="N66" s="11">
        <f>+'02_Pricing'!N50*(1-'03_CatMan_DDI'!N49)</f>
        <v>1616.0849772382398</v>
      </c>
      <c r="O66" s="11">
        <f>+'02_Pricing'!O50*(1-'03_CatMan_DDI'!O49)</f>
        <v>1616.0849772382398</v>
      </c>
      <c r="P66" s="73">
        <f t="shared" si="13"/>
        <v>19393.019726858874</v>
      </c>
    </row>
    <row r="67" spans="2:16">
      <c r="B67" s="3" t="s">
        <v>73</v>
      </c>
      <c r="C67" s="11">
        <f>+'02_Pricing'!C51*(1-'03_CatMan_DDI'!C50)</f>
        <v>3361.2366389301142</v>
      </c>
      <c r="D67" s="11">
        <f>+'02_Pricing'!D51*(1-'03_CatMan_DDI'!D50)</f>
        <v>3341.0692190965333</v>
      </c>
      <c r="E67" s="11">
        <f>+'02_Pricing'!E51*(1-'03_CatMan_DDI'!E50)</f>
        <v>3341.0692190965333</v>
      </c>
      <c r="F67" s="11">
        <f>+'02_Pricing'!F51*(1-'03_CatMan_DDI'!F50)</f>
        <v>3341.0692190965333</v>
      </c>
      <c r="G67" s="11">
        <f>+'02_Pricing'!G51*(1-'03_CatMan_DDI'!G50)</f>
        <v>3341.0692190965333</v>
      </c>
      <c r="H67" s="11">
        <f>+'02_Pricing'!H51*(1-'03_CatMan_DDI'!H50)</f>
        <v>3341.0692190965333</v>
      </c>
      <c r="I67" s="11">
        <f>+'02_Pricing'!I51*(1-'03_CatMan_DDI'!I50)</f>
        <v>3341.0692190965333</v>
      </c>
      <c r="J67" s="11">
        <f>+'02_Pricing'!J51*(1-'03_CatMan_DDI'!J50)</f>
        <v>3341.0692190965333</v>
      </c>
      <c r="K67" s="11">
        <f>+'02_Pricing'!K51*(1-'03_CatMan_DDI'!K50)</f>
        <v>3341.0692190965333</v>
      </c>
      <c r="L67" s="11">
        <f>+'02_Pricing'!L51*(1-'03_CatMan_DDI'!L50)</f>
        <v>3341.0692190965333</v>
      </c>
      <c r="M67" s="11">
        <f>+'02_Pricing'!M51*(1-'03_CatMan_DDI'!M50)</f>
        <v>3341.0692190965333</v>
      </c>
      <c r="N67" s="11">
        <f>+'02_Pricing'!N51*(1-'03_CatMan_DDI'!N50)</f>
        <v>3341.0692190965333</v>
      </c>
      <c r="O67" s="11">
        <f>+'02_Pricing'!O51*(1-'03_CatMan_DDI'!O50)</f>
        <v>3341.0692190965333</v>
      </c>
      <c r="P67" s="73">
        <f t="shared" si="13"/>
        <v>40092.830629158409</v>
      </c>
    </row>
    <row r="68" spans="2:16">
      <c r="B68" s="1"/>
      <c r="C68" s="1"/>
      <c r="D68" s="1"/>
      <c r="E68" s="1"/>
      <c r="F68" s="1"/>
      <c r="G68" s="38"/>
      <c r="H68" s="38"/>
      <c r="I68" s="38"/>
      <c r="J68" s="1"/>
      <c r="K68" s="1"/>
      <c r="L68" s="1"/>
      <c r="M68" s="1"/>
      <c r="N68" s="1"/>
      <c r="O68" s="38"/>
      <c r="P68" s="73"/>
    </row>
    <row r="69" spans="2:16">
      <c r="B69" s="3" t="s">
        <v>82</v>
      </c>
      <c r="C69" s="42">
        <f t="shared" ref="C69" si="14">SUM(C57:C67)</f>
        <v>29999.734662508959</v>
      </c>
      <c r="D69" s="42">
        <f t="shared" ref="D69:O69" si="15">SUM(D57:D67)</f>
        <v>29819.736254533913</v>
      </c>
      <c r="E69" s="42">
        <f t="shared" si="15"/>
        <v>29819.736254533913</v>
      </c>
      <c r="F69" s="42">
        <f t="shared" si="15"/>
        <v>29819.736254533913</v>
      </c>
      <c r="G69" s="42">
        <f t="shared" si="15"/>
        <v>29819.736254533913</v>
      </c>
      <c r="H69" s="42">
        <f t="shared" si="15"/>
        <v>29819.736254533913</v>
      </c>
      <c r="I69" s="42">
        <f t="shared" si="15"/>
        <v>29819.736254533913</v>
      </c>
      <c r="J69" s="42">
        <f t="shared" si="15"/>
        <v>29819.736254533913</v>
      </c>
      <c r="K69" s="42">
        <f t="shared" si="15"/>
        <v>29819.736254533913</v>
      </c>
      <c r="L69" s="42">
        <f t="shared" si="15"/>
        <v>29819.736254533913</v>
      </c>
      <c r="M69" s="42">
        <f t="shared" si="15"/>
        <v>29819.736254533913</v>
      </c>
      <c r="N69" s="42">
        <f t="shared" si="15"/>
        <v>29819.736254533913</v>
      </c>
      <c r="O69" s="42">
        <f t="shared" si="15"/>
        <v>29819.736254533913</v>
      </c>
      <c r="P69" s="73">
        <f t="shared" si="13"/>
        <v>357836.83505440707</v>
      </c>
    </row>
    <row r="71" spans="2:16" ht="15.9">
      <c r="B71" s="68" t="s">
        <v>242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2:16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2:16">
      <c r="B73" s="25" t="s">
        <v>59</v>
      </c>
      <c r="C73" s="2" t="s">
        <v>38</v>
      </c>
      <c r="D73" s="2" t="s">
        <v>9</v>
      </c>
      <c r="E73" s="2" t="s">
        <v>39</v>
      </c>
      <c r="F73" s="2" t="s">
        <v>40</v>
      </c>
      <c r="G73" s="2" t="s">
        <v>41</v>
      </c>
      <c r="H73" s="2" t="s">
        <v>42</v>
      </c>
      <c r="I73" s="2" t="s">
        <v>43</v>
      </c>
      <c r="J73" s="2" t="s">
        <v>44</v>
      </c>
      <c r="K73" s="2" t="s">
        <v>45</v>
      </c>
      <c r="L73" s="2" t="s">
        <v>46</v>
      </c>
      <c r="M73" s="2" t="s">
        <v>47</v>
      </c>
      <c r="N73" s="2" t="s">
        <v>48</v>
      </c>
      <c r="O73" s="2" t="s">
        <v>49</v>
      </c>
      <c r="P73" s="25" t="s">
        <v>136</v>
      </c>
    </row>
    <row r="74" spans="2:16">
      <c r="B74" s="3" t="s">
        <v>236</v>
      </c>
      <c r="C74" s="11">
        <f>+(C57/30)*C23*(1-'02_Pricing'!C75)</f>
        <v>13305.6</v>
      </c>
      <c r="D74" s="11">
        <f>+(D57/30)*D23*(1-'02_Pricing'!D75)</f>
        <v>11302.018560000002</v>
      </c>
      <c r="E74" s="11">
        <f>+(E57/30)*E23*(1-'02_Pricing'!E75)</f>
        <v>11302.018560000002</v>
      </c>
      <c r="F74" s="11">
        <f>+(F57/30)*F23*(1-'02_Pricing'!F75)</f>
        <v>11302.018560000002</v>
      </c>
      <c r="G74" s="11">
        <f>+(G57/30)*G23*(1-'02_Pricing'!G75)</f>
        <v>11302.018560000002</v>
      </c>
      <c r="H74" s="11">
        <f>+(H57/30)*H23*(1-'02_Pricing'!H75)</f>
        <v>11302.018560000002</v>
      </c>
      <c r="I74" s="11">
        <f>+(I57/30)*I23*(1-'02_Pricing'!I75)</f>
        <v>11302.018560000002</v>
      </c>
      <c r="J74" s="11">
        <f>+(J57/30)*J23*(1-'02_Pricing'!J75)</f>
        <v>11302.018560000002</v>
      </c>
      <c r="K74" s="11">
        <f>+(K57/30)*K23*(1-'02_Pricing'!K75)</f>
        <v>11302.018560000002</v>
      </c>
      <c r="L74" s="11">
        <f>+(L57/30)*L23*(1-'02_Pricing'!L75)</f>
        <v>11302.018560000002</v>
      </c>
      <c r="M74" s="11">
        <f>+(M57/30)*M23*(1-'02_Pricing'!M75)</f>
        <v>11302.018560000002</v>
      </c>
      <c r="N74" s="11">
        <f>+(N57/30)*N23*(1-'02_Pricing'!N75)</f>
        <v>11302.018560000002</v>
      </c>
      <c r="O74" s="11">
        <f>+(O57/30)*O23*(1-'02_Pricing'!O75)</f>
        <v>11302.018560000002</v>
      </c>
      <c r="P74" s="73">
        <f t="shared" ref="P74:P86" si="16">SUM(D74:O74)</f>
        <v>135624.22271999999</v>
      </c>
    </row>
    <row r="75" spans="2:16">
      <c r="B75" s="3" t="s">
        <v>64</v>
      </c>
      <c r="C75" s="11">
        <f>+(C58/30)*C24*(1-'02_Pricing'!C76)</f>
        <v>2211.1424235855188</v>
      </c>
      <c r="D75" s="11">
        <f>+(D58/30)*D24*(1-'02_Pricing'!D76)</f>
        <v>1927.3678067001283</v>
      </c>
      <c r="E75" s="11">
        <f>+(E58/30)*E24*(1-'02_Pricing'!E76)</f>
        <v>1927.3678067001283</v>
      </c>
      <c r="F75" s="11">
        <f>+(F58/30)*F24*(1-'02_Pricing'!F76)</f>
        <v>1927.3678067001283</v>
      </c>
      <c r="G75" s="11">
        <f>+(G58/30)*G24*(1-'02_Pricing'!G76)</f>
        <v>1927.3678067001283</v>
      </c>
      <c r="H75" s="11">
        <f>+(H58/30)*H24*(1-'02_Pricing'!H76)</f>
        <v>1927.3678067001283</v>
      </c>
      <c r="I75" s="11">
        <f>+(I58/30)*I24*(1-'02_Pricing'!I76)</f>
        <v>1927.3678067001283</v>
      </c>
      <c r="J75" s="11">
        <f>+(J58/30)*J24*(1-'02_Pricing'!J76)</f>
        <v>1927.3678067001283</v>
      </c>
      <c r="K75" s="11">
        <f>+(K58/30)*K24*(1-'02_Pricing'!K76)</f>
        <v>1927.3678067001283</v>
      </c>
      <c r="L75" s="11">
        <f>+(L58/30)*L24*(1-'02_Pricing'!L76)</f>
        <v>1927.3678067001283</v>
      </c>
      <c r="M75" s="11">
        <f>+(M58/30)*M24*(1-'02_Pricing'!M76)</f>
        <v>1927.3678067001283</v>
      </c>
      <c r="N75" s="11">
        <f>+(N58/30)*N24*(1-'02_Pricing'!N76)</f>
        <v>1927.3678067001283</v>
      </c>
      <c r="O75" s="11">
        <f>+(O58/30)*O24*(1-'02_Pricing'!O76)</f>
        <v>1927.3678067001283</v>
      </c>
      <c r="P75" s="73">
        <f t="shared" si="16"/>
        <v>23128.413680401532</v>
      </c>
    </row>
    <row r="76" spans="2:16">
      <c r="B76" s="3" t="s">
        <v>65</v>
      </c>
      <c r="C76" s="11">
        <f>+(C59/30)*C25*(1-'02_Pricing'!C77)</f>
        <v>3034.9013657056157</v>
      </c>
      <c r="D76" s="11">
        <f>+(D59/30)*D25*(1-'02_Pricing'!D77)</f>
        <v>2671.9271623672239</v>
      </c>
      <c r="E76" s="11">
        <f>+(E59/30)*E25*(1-'02_Pricing'!E77)</f>
        <v>2671.9271623672239</v>
      </c>
      <c r="F76" s="11">
        <f>+(F59/30)*F25*(1-'02_Pricing'!F77)</f>
        <v>2671.9271623672239</v>
      </c>
      <c r="G76" s="11">
        <f>+(G59/30)*G25*(1-'02_Pricing'!G77)</f>
        <v>2671.9271623672239</v>
      </c>
      <c r="H76" s="11">
        <f>+(H59/30)*H25*(1-'02_Pricing'!H77)</f>
        <v>2671.9271623672239</v>
      </c>
      <c r="I76" s="11">
        <f>+(I59/30)*I25*(1-'02_Pricing'!I77)</f>
        <v>2671.9271623672239</v>
      </c>
      <c r="J76" s="11">
        <f>+(J59/30)*J25*(1-'02_Pricing'!J77)</f>
        <v>2671.9271623672239</v>
      </c>
      <c r="K76" s="11">
        <f>+(K59/30)*K25*(1-'02_Pricing'!K77)</f>
        <v>2671.9271623672239</v>
      </c>
      <c r="L76" s="11">
        <f>+(L59/30)*L25*(1-'02_Pricing'!L77)</f>
        <v>2671.9271623672239</v>
      </c>
      <c r="M76" s="11">
        <f>+(M59/30)*M25*(1-'02_Pricing'!M77)</f>
        <v>2671.9271623672239</v>
      </c>
      <c r="N76" s="11">
        <f>+(N59/30)*N25*(1-'02_Pricing'!N77)</f>
        <v>2671.9271623672239</v>
      </c>
      <c r="O76" s="11">
        <f>+(O59/30)*O25*(1-'02_Pricing'!O77)</f>
        <v>2671.9271623672239</v>
      </c>
      <c r="P76" s="73">
        <f t="shared" si="16"/>
        <v>32063.125948406694</v>
      </c>
    </row>
    <row r="77" spans="2:16">
      <c r="B77" s="3" t="s">
        <v>66</v>
      </c>
      <c r="C77" s="11">
        <f>+(C60/30)*C26*(1-'02_Pricing'!C78)</f>
        <v>2713.9021827944439</v>
      </c>
      <c r="D77" s="11">
        <f>+(D60/30)*D26*(1-'02_Pricing'!D78)</f>
        <v>2409.8727675965915</v>
      </c>
      <c r="E77" s="11">
        <f>+(E60/30)*E26*(1-'02_Pricing'!E78)</f>
        <v>2409.8727675965915</v>
      </c>
      <c r="F77" s="11">
        <f>+(F60/30)*F26*(1-'02_Pricing'!F78)</f>
        <v>2409.8727675965915</v>
      </c>
      <c r="G77" s="11">
        <f>+(G60/30)*G26*(1-'02_Pricing'!G78)</f>
        <v>2409.8727675965915</v>
      </c>
      <c r="H77" s="11">
        <f>+(H60/30)*H26*(1-'02_Pricing'!H78)</f>
        <v>2409.8727675965915</v>
      </c>
      <c r="I77" s="11">
        <f>+(I60/30)*I26*(1-'02_Pricing'!I78)</f>
        <v>2409.8727675965915</v>
      </c>
      <c r="J77" s="11">
        <f>+(J60/30)*J26*(1-'02_Pricing'!J78)</f>
        <v>2409.8727675965915</v>
      </c>
      <c r="K77" s="11">
        <f>+(K60/30)*K26*(1-'02_Pricing'!K78)</f>
        <v>2409.8727675965915</v>
      </c>
      <c r="L77" s="11">
        <f>+(L60/30)*L26*(1-'02_Pricing'!L78)</f>
        <v>2409.8727675965915</v>
      </c>
      <c r="M77" s="11">
        <f>+(M60/30)*M26*(1-'02_Pricing'!M78)</f>
        <v>2409.8727675965915</v>
      </c>
      <c r="N77" s="11">
        <f>+(N60/30)*N26*(1-'02_Pricing'!N78)</f>
        <v>2409.8727675965915</v>
      </c>
      <c r="O77" s="11">
        <f>+(O60/30)*O26*(1-'02_Pricing'!O78)</f>
        <v>2409.8727675965915</v>
      </c>
      <c r="P77" s="73">
        <f t="shared" si="16"/>
        <v>28918.473211159104</v>
      </c>
    </row>
    <row r="78" spans="2:16">
      <c r="B78" s="3" t="s">
        <v>67</v>
      </c>
      <c r="C78" s="11">
        <f>+(C61/30)*C27*(1-'02_Pricing'!C79)</f>
        <v>4952.558822058063</v>
      </c>
      <c r="D78" s="11">
        <f>+(D61/30)*D27*(1-'02_Pricing'!D79)</f>
        <v>4266.4643399089528</v>
      </c>
      <c r="E78" s="11">
        <f>+(E61/30)*E27*(1-'02_Pricing'!E79)</f>
        <v>4266.4643399089528</v>
      </c>
      <c r="F78" s="11">
        <f>+(F61/30)*F27*(1-'02_Pricing'!F79)</f>
        <v>4266.4643399089528</v>
      </c>
      <c r="G78" s="11">
        <f>+(G61/30)*G27*(1-'02_Pricing'!G79)</f>
        <v>4266.4643399089528</v>
      </c>
      <c r="H78" s="11">
        <f>+(H61/30)*H27*(1-'02_Pricing'!H79)</f>
        <v>4266.4643399089528</v>
      </c>
      <c r="I78" s="11">
        <f>+(I61/30)*I27*(1-'02_Pricing'!I79)</f>
        <v>4266.4643399089528</v>
      </c>
      <c r="J78" s="11">
        <f>+(J61/30)*J27*(1-'02_Pricing'!J79)</f>
        <v>4266.4643399089528</v>
      </c>
      <c r="K78" s="11">
        <f>+(K61/30)*K27*(1-'02_Pricing'!K79)</f>
        <v>4266.4643399089528</v>
      </c>
      <c r="L78" s="11">
        <f>+(L61/30)*L27*(1-'02_Pricing'!L79)</f>
        <v>4266.4643399089528</v>
      </c>
      <c r="M78" s="11">
        <f>+(M61/30)*M27*(1-'02_Pricing'!M79)</f>
        <v>4266.4643399089528</v>
      </c>
      <c r="N78" s="11">
        <f>+(N61/30)*N27*(1-'02_Pricing'!N79)</f>
        <v>4266.4643399089528</v>
      </c>
      <c r="O78" s="11">
        <f>+(O61/30)*O27*(1-'02_Pricing'!O79)</f>
        <v>4266.4643399089528</v>
      </c>
      <c r="P78" s="73">
        <f t="shared" si="16"/>
        <v>51197.572078907448</v>
      </c>
    </row>
    <row r="79" spans="2:16">
      <c r="B79" s="3" t="s">
        <v>68</v>
      </c>
      <c r="C79" s="11">
        <f>+(C62/30)*C28*(1-'02_Pricing'!C80)</f>
        <v>1668.36198702663</v>
      </c>
      <c r="D79" s="11">
        <f>+(D62/30)*D28*(1-'02_Pricing'!D80)</f>
        <v>1429.6136337107507</v>
      </c>
      <c r="E79" s="11">
        <f>+(E62/30)*E28*(1-'02_Pricing'!E80)</f>
        <v>1429.6136337107507</v>
      </c>
      <c r="F79" s="11">
        <f>+(F62/30)*F28*(1-'02_Pricing'!F80)</f>
        <v>1429.6136337107507</v>
      </c>
      <c r="G79" s="11">
        <f>+(G62/30)*G28*(1-'02_Pricing'!G80)</f>
        <v>1429.6136337107507</v>
      </c>
      <c r="H79" s="11">
        <f>+(H62/30)*H28*(1-'02_Pricing'!H80)</f>
        <v>1429.6136337107507</v>
      </c>
      <c r="I79" s="11">
        <f>+(I62/30)*I28*(1-'02_Pricing'!I80)</f>
        <v>1429.6136337107507</v>
      </c>
      <c r="J79" s="11">
        <f>+(J62/30)*J28*(1-'02_Pricing'!J80)</f>
        <v>1429.6136337107507</v>
      </c>
      <c r="K79" s="11">
        <f>+(K62/30)*K28*(1-'02_Pricing'!K80)</f>
        <v>1429.6136337107507</v>
      </c>
      <c r="L79" s="11">
        <f>+(L62/30)*L28*(1-'02_Pricing'!L80)</f>
        <v>1429.6136337107507</v>
      </c>
      <c r="M79" s="11">
        <f>+(M62/30)*M28*(1-'02_Pricing'!M80)</f>
        <v>1429.6136337107507</v>
      </c>
      <c r="N79" s="11">
        <f>+(N62/30)*N28*(1-'02_Pricing'!N80)</f>
        <v>1429.6136337107507</v>
      </c>
      <c r="O79" s="11">
        <f>+(O62/30)*O28*(1-'02_Pricing'!O80)</f>
        <v>1429.6136337107507</v>
      </c>
      <c r="P79" s="73">
        <f t="shared" si="16"/>
        <v>17155.363604529008</v>
      </c>
    </row>
    <row r="80" spans="2:16">
      <c r="B80" s="3" t="s">
        <v>69</v>
      </c>
      <c r="C80" s="11">
        <f>+(C63/30)*C29*(1-'02_Pricing'!C81)</f>
        <v>3046.5740632660209</v>
      </c>
      <c r="D80" s="11">
        <f>+(D63/30)*D29*(1-'02_Pricing'!D81)</f>
        <v>2682.2038052994048</v>
      </c>
      <c r="E80" s="11">
        <f>+(E63/30)*E29*(1-'02_Pricing'!E81)</f>
        <v>2682.2038052994048</v>
      </c>
      <c r="F80" s="11">
        <f>+(F63/30)*F29*(1-'02_Pricing'!F81)</f>
        <v>2682.2038052994048</v>
      </c>
      <c r="G80" s="11">
        <f>+(G63/30)*G29*(1-'02_Pricing'!G81)</f>
        <v>2682.2038052994048</v>
      </c>
      <c r="H80" s="11">
        <f>+(H63/30)*H29*(1-'02_Pricing'!H81)</f>
        <v>2682.2038052994048</v>
      </c>
      <c r="I80" s="11">
        <f>+(I63/30)*I29*(1-'02_Pricing'!I81)</f>
        <v>2682.2038052994048</v>
      </c>
      <c r="J80" s="11">
        <f>+(J63/30)*J29*(1-'02_Pricing'!J81)</f>
        <v>2682.2038052994048</v>
      </c>
      <c r="K80" s="11">
        <f>+(K63/30)*K29*(1-'02_Pricing'!K81)</f>
        <v>2682.2038052994048</v>
      </c>
      <c r="L80" s="11">
        <f>+(L63/30)*L29*(1-'02_Pricing'!L81)</f>
        <v>2682.2038052994048</v>
      </c>
      <c r="M80" s="11">
        <f>+(M63/30)*M29*(1-'02_Pricing'!M81)</f>
        <v>2682.2038052994048</v>
      </c>
      <c r="N80" s="11">
        <f>+(N63/30)*N29*(1-'02_Pricing'!N81)</f>
        <v>2682.2038052994048</v>
      </c>
      <c r="O80" s="11">
        <f>+(O63/30)*O29*(1-'02_Pricing'!O81)</f>
        <v>2682.2038052994048</v>
      </c>
      <c r="P80" s="73">
        <f t="shared" si="16"/>
        <v>32186.445663592851</v>
      </c>
    </row>
    <row r="81" spans="2:16">
      <c r="B81" s="3" t="s">
        <v>70</v>
      </c>
      <c r="C81" s="11">
        <f>+(C64/30)*C30*(1-'02_Pricing'!C82)</f>
        <v>1558.5552535476663</v>
      </c>
      <c r="D81" s="11">
        <f>+(D64/30)*D30*(1-'02_Pricing'!D82)</f>
        <v>1349.3066417649118</v>
      </c>
      <c r="E81" s="11">
        <f>+(E64/30)*E30*(1-'02_Pricing'!E82)</f>
        <v>1349.3066417649118</v>
      </c>
      <c r="F81" s="11">
        <f>+(F64/30)*F30*(1-'02_Pricing'!F82)</f>
        <v>1349.3066417649118</v>
      </c>
      <c r="G81" s="11">
        <f>+(G64/30)*G30*(1-'02_Pricing'!G82)</f>
        <v>1349.3066417649118</v>
      </c>
      <c r="H81" s="11">
        <f>+(H64/30)*H30*(1-'02_Pricing'!H82)</f>
        <v>1349.3066417649118</v>
      </c>
      <c r="I81" s="11">
        <f>+(I64/30)*I30*(1-'02_Pricing'!I82)</f>
        <v>1349.3066417649118</v>
      </c>
      <c r="J81" s="11">
        <f>+(J64/30)*J30*(1-'02_Pricing'!J82)</f>
        <v>1349.3066417649118</v>
      </c>
      <c r="K81" s="11">
        <f>+(K64/30)*K30*(1-'02_Pricing'!K82)</f>
        <v>1349.3066417649118</v>
      </c>
      <c r="L81" s="11">
        <f>+(L64/30)*L30*(1-'02_Pricing'!L82)</f>
        <v>1349.3066417649118</v>
      </c>
      <c r="M81" s="11">
        <f>+(M64/30)*M30*(1-'02_Pricing'!M82)</f>
        <v>1349.3066417649118</v>
      </c>
      <c r="N81" s="11">
        <f>+(N64/30)*N30*(1-'02_Pricing'!N82)</f>
        <v>1349.3066417649118</v>
      </c>
      <c r="O81" s="11">
        <f>+(O64/30)*O30*(1-'02_Pricing'!O82)</f>
        <v>1349.3066417649118</v>
      </c>
      <c r="P81" s="73">
        <f t="shared" si="16"/>
        <v>16191.67970117894</v>
      </c>
    </row>
    <row r="82" spans="2:16">
      <c r="B82" s="3" t="s">
        <v>71</v>
      </c>
      <c r="C82" s="11">
        <f>+(C65/30)*C31*(1-'02_Pricing'!C83)</f>
        <v>1907.6522870149581</v>
      </c>
      <c r="D82" s="11">
        <f>+(D65/30)*D31*(1-'02_Pricing'!D83)</f>
        <v>1662.8271273491303</v>
      </c>
      <c r="E82" s="11">
        <f>+(E65/30)*E31*(1-'02_Pricing'!E83)</f>
        <v>1662.8271273491303</v>
      </c>
      <c r="F82" s="11">
        <f>+(F65/30)*F31*(1-'02_Pricing'!F83)</f>
        <v>1662.8271273491303</v>
      </c>
      <c r="G82" s="11">
        <f>+(G65/30)*G31*(1-'02_Pricing'!G83)</f>
        <v>1662.8271273491303</v>
      </c>
      <c r="H82" s="11">
        <f>+(H65/30)*H31*(1-'02_Pricing'!H83)</f>
        <v>1662.8271273491303</v>
      </c>
      <c r="I82" s="11">
        <f>+(I65/30)*I31*(1-'02_Pricing'!I83)</f>
        <v>1662.8271273491303</v>
      </c>
      <c r="J82" s="11">
        <f>+(J65/30)*J31*(1-'02_Pricing'!J83)</f>
        <v>1662.8271273491303</v>
      </c>
      <c r="K82" s="11">
        <f>+(K65/30)*K31*(1-'02_Pricing'!K83)</f>
        <v>1662.8271273491303</v>
      </c>
      <c r="L82" s="11">
        <f>+(L65/30)*L31*(1-'02_Pricing'!L83)</f>
        <v>1662.8271273491303</v>
      </c>
      <c r="M82" s="11">
        <f>+(M65/30)*M31*(1-'02_Pricing'!M83)</f>
        <v>1662.8271273491303</v>
      </c>
      <c r="N82" s="11">
        <f>+(N65/30)*N31*(1-'02_Pricing'!N83)</f>
        <v>1662.8271273491303</v>
      </c>
      <c r="O82" s="11">
        <f>+(O65/30)*O31*(1-'02_Pricing'!O83)</f>
        <v>1662.8271273491303</v>
      </c>
      <c r="P82" s="73">
        <f t="shared" si="16"/>
        <v>19953.925528189564</v>
      </c>
    </row>
    <row r="83" spans="2:16">
      <c r="B83" s="3" t="s">
        <v>72</v>
      </c>
      <c r="C83" s="11">
        <f>+(C66/30)*C32*(1-'02_Pricing'!C84)</f>
        <v>2324.9512247994794</v>
      </c>
      <c r="D83" s="11">
        <f>+(D66/30)*D32*(1-'02_Pricing'!D84)</f>
        <v>2030.8801213960544</v>
      </c>
      <c r="E83" s="11">
        <f>+(E66/30)*E32*(1-'02_Pricing'!E84)</f>
        <v>2030.8801213960544</v>
      </c>
      <c r="F83" s="11">
        <f>+(F66/30)*F32*(1-'02_Pricing'!F84)</f>
        <v>2030.8801213960544</v>
      </c>
      <c r="G83" s="11">
        <f>+(G66/30)*G32*(1-'02_Pricing'!G84)</f>
        <v>2030.8801213960544</v>
      </c>
      <c r="H83" s="11">
        <f>+(H66/30)*H32*(1-'02_Pricing'!H84)</f>
        <v>2030.8801213960544</v>
      </c>
      <c r="I83" s="11">
        <f>+(I66/30)*I32*(1-'02_Pricing'!I84)</f>
        <v>2030.8801213960544</v>
      </c>
      <c r="J83" s="11">
        <f>+(J66/30)*J32*(1-'02_Pricing'!J84)</f>
        <v>2030.8801213960544</v>
      </c>
      <c r="K83" s="11">
        <f>+(K66/30)*K32*(1-'02_Pricing'!K84)</f>
        <v>2030.8801213960544</v>
      </c>
      <c r="L83" s="11">
        <f>+(L66/30)*L32*(1-'02_Pricing'!L84)</f>
        <v>2030.8801213960544</v>
      </c>
      <c r="M83" s="11">
        <f>+(M66/30)*M32*(1-'02_Pricing'!M84)</f>
        <v>2030.8801213960544</v>
      </c>
      <c r="N83" s="11">
        <f>+(N66/30)*N32*(1-'02_Pricing'!N84)</f>
        <v>2030.8801213960544</v>
      </c>
      <c r="O83" s="11">
        <f>+(O66/30)*O32*(1-'02_Pricing'!O84)</f>
        <v>2030.8801213960544</v>
      </c>
      <c r="P83" s="73">
        <f t="shared" si="16"/>
        <v>24370.561456752654</v>
      </c>
    </row>
    <row r="84" spans="2:16">
      <c r="B84" s="3" t="s">
        <v>73</v>
      </c>
      <c r="C84" s="11">
        <f>+(C67/30)*C33*(1-'02_Pricing'!C85)</f>
        <v>4660.9148059830914</v>
      </c>
      <c r="D84" s="11">
        <f>+(D67/30)*D33*(1-'02_Pricing'!D85)</f>
        <v>4169.6543854324736</v>
      </c>
      <c r="E84" s="11">
        <f>+(E67/30)*E33*(1-'02_Pricing'!E85)</f>
        <v>4169.6543854324736</v>
      </c>
      <c r="F84" s="11">
        <f>+(F67/30)*F33*(1-'02_Pricing'!F85)</f>
        <v>4169.6543854324736</v>
      </c>
      <c r="G84" s="11">
        <f>+(G67/30)*G33*(1-'02_Pricing'!G85)</f>
        <v>4169.6543854324736</v>
      </c>
      <c r="H84" s="11">
        <f>+(H67/30)*H33*(1-'02_Pricing'!H85)</f>
        <v>4169.6543854324736</v>
      </c>
      <c r="I84" s="11">
        <f>+(I67/30)*I33*(1-'02_Pricing'!I85)</f>
        <v>4169.6543854324736</v>
      </c>
      <c r="J84" s="11">
        <f>+(J67/30)*J33*(1-'02_Pricing'!J85)</f>
        <v>4169.6543854324736</v>
      </c>
      <c r="K84" s="11">
        <f>+(K67/30)*K33*(1-'02_Pricing'!K85)</f>
        <v>4169.6543854324736</v>
      </c>
      <c r="L84" s="11">
        <f>+(L67/30)*L33*(1-'02_Pricing'!L85)</f>
        <v>4169.6543854324736</v>
      </c>
      <c r="M84" s="11">
        <f>+(M67/30)*M33*(1-'02_Pricing'!M85)</f>
        <v>4169.6543854324736</v>
      </c>
      <c r="N84" s="11">
        <f>+(N67/30)*N33*(1-'02_Pricing'!N85)</f>
        <v>4169.6543854324736</v>
      </c>
      <c r="O84" s="11">
        <f>+(O67/30)*O33*(1-'02_Pricing'!O85)</f>
        <v>4169.6543854324736</v>
      </c>
      <c r="P84" s="73">
        <f t="shared" si="16"/>
        <v>50035.852625189669</v>
      </c>
    </row>
    <row r="85" spans="2:16">
      <c r="B85" s="1"/>
      <c r="C85" s="1"/>
      <c r="D85" s="1"/>
      <c r="E85" s="1"/>
      <c r="F85" s="1"/>
      <c r="G85" s="38"/>
      <c r="H85" s="38"/>
      <c r="I85" s="38"/>
      <c r="J85" s="1"/>
      <c r="K85" s="1"/>
      <c r="L85" s="1"/>
      <c r="M85" s="1"/>
      <c r="N85" s="1"/>
      <c r="O85" s="38"/>
      <c r="P85" s="73"/>
    </row>
    <row r="86" spans="2:16">
      <c r="B86" s="3" t="s">
        <v>82</v>
      </c>
      <c r="C86" s="42">
        <f t="shared" ref="C86:O86" si="17">SUM(C74:C84)</f>
        <v>41385.114415781485</v>
      </c>
      <c r="D86" s="42">
        <f t="shared" si="17"/>
        <v>35902.136351525623</v>
      </c>
      <c r="E86" s="42">
        <f t="shared" si="17"/>
        <v>35902.136351525623</v>
      </c>
      <c r="F86" s="42">
        <f t="shared" si="17"/>
        <v>35902.136351525623</v>
      </c>
      <c r="G86" s="42">
        <f t="shared" si="17"/>
        <v>35902.136351525623</v>
      </c>
      <c r="H86" s="42">
        <f t="shared" si="17"/>
        <v>35902.136351525623</v>
      </c>
      <c r="I86" s="42">
        <f t="shared" si="17"/>
        <v>35902.136351525623</v>
      </c>
      <c r="J86" s="42">
        <f t="shared" si="17"/>
        <v>35902.136351525623</v>
      </c>
      <c r="K86" s="42">
        <f t="shared" si="17"/>
        <v>35902.136351525623</v>
      </c>
      <c r="L86" s="42">
        <f t="shared" si="17"/>
        <v>35902.136351525623</v>
      </c>
      <c r="M86" s="42">
        <f t="shared" si="17"/>
        <v>35902.136351525623</v>
      </c>
      <c r="N86" s="42">
        <f t="shared" si="17"/>
        <v>35902.136351525623</v>
      </c>
      <c r="O86" s="42">
        <f t="shared" si="17"/>
        <v>35902.136351525623</v>
      </c>
      <c r="P86" s="73">
        <f t="shared" si="16"/>
        <v>430825.63621830737</v>
      </c>
    </row>
    <row r="88" spans="2:16" ht="15.9">
      <c r="B88" s="68" t="s">
        <v>243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2:16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2:16">
      <c r="B90" s="25" t="s">
        <v>59</v>
      </c>
      <c r="C90" s="2" t="s">
        <v>38</v>
      </c>
      <c r="D90" s="2" t="s">
        <v>9</v>
      </c>
      <c r="E90" s="2" t="s">
        <v>39</v>
      </c>
      <c r="F90" s="2" t="s">
        <v>40</v>
      </c>
      <c r="G90" s="2" t="s">
        <v>41</v>
      </c>
      <c r="H90" s="2" t="s">
        <v>42</v>
      </c>
      <c r="I90" s="2" t="s">
        <v>43</v>
      </c>
      <c r="J90" s="2" t="s">
        <v>44</v>
      </c>
      <c r="K90" s="2" t="s">
        <v>45</v>
      </c>
      <c r="L90" s="2" t="s">
        <v>46</v>
      </c>
      <c r="M90" s="2" t="s">
        <v>47</v>
      </c>
      <c r="N90" s="2" t="s">
        <v>48</v>
      </c>
      <c r="O90" s="2" t="s">
        <v>49</v>
      </c>
      <c r="P90" s="25" t="s">
        <v>136</v>
      </c>
    </row>
    <row r="91" spans="2:16">
      <c r="B91" s="3" t="s">
        <v>236</v>
      </c>
      <c r="C91" s="11"/>
      <c r="D91" s="11">
        <f>+D74-C74</f>
        <v>-2003.5814399999981</v>
      </c>
      <c r="E91" s="11">
        <f t="shared" ref="E91:O91" si="18">+E74-D74</f>
        <v>0</v>
      </c>
      <c r="F91" s="11">
        <f t="shared" si="18"/>
        <v>0</v>
      </c>
      <c r="G91" s="11">
        <f t="shared" si="18"/>
        <v>0</v>
      </c>
      <c r="H91" s="11">
        <f t="shared" si="18"/>
        <v>0</v>
      </c>
      <c r="I91" s="11">
        <f t="shared" si="18"/>
        <v>0</v>
      </c>
      <c r="J91" s="11">
        <f t="shared" si="18"/>
        <v>0</v>
      </c>
      <c r="K91" s="11">
        <f t="shared" si="18"/>
        <v>0</v>
      </c>
      <c r="L91" s="11">
        <f t="shared" si="18"/>
        <v>0</v>
      </c>
      <c r="M91" s="11">
        <f t="shared" si="18"/>
        <v>0</v>
      </c>
      <c r="N91" s="11">
        <f t="shared" si="18"/>
        <v>0</v>
      </c>
      <c r="O91" s="11">
        <f t="shared" si="18"/>
        <v>0</v>
      </c>
      <c r="P91" s="73">
        <f t="shared" ref="P91:P103" si="19">SUM(D91:O91)</f>
        <v>-2003.5814399999981</v>
      </c>
    </row>
    <row r="92" spans="2:16">
      <c r="B92" s="3" t="s">
        <v>64</v>
      </c>
      <c r="C92" s="11"/>
      <c r="D92" s="11">
        <f t="shared" ref="D92:O92" si="20">+D75-C75</f>
        <v>-283.77461688539051</v>
      </c>
      <c r="E92" s="11">
        <f t="shared" si="20"/>
        <v>0</v>
      </c>
      <c r="F92" s="11">
        <f t="shared" si="20"/>
        <v>0</v>
      </c>
      <c r="G92" s="11">
        <f t="shared" si="20"/>
        <v>0</v>
      </c>
      <c r="H92" s="11">
        <f t="shared" si="20"/>
        <v>0</v>
      </c>
      <c r="I92" s="11">
        <f t="shared" si="20"/>
        <v>0</v>
      </c>
      <c r="J92" s="11">
        <f t="shared" si="20"/>
        <v>0</v>
      </c>
      <c r="K92" s="11">
        <f t="shared" si="20"/>
        <v>0</v>
      </c>
      <c r="L92" s="11">
        <f t="shared" si="20"/>
        <v>0</v>
      </c>
      <c r="M92" s="11">
        <f t="shared" si="20"/>
        <v>0</v>
      </c>
      <c r="N92" s="11">
        <f t="shared" si="20"/>
        <v>0</v>
      </c>
      <c r="O92" s="11">
        <f t="shared" si="20"/>
        <v>0</v>
      </c>
      <c r="P92" s="73">
        <f t="shared" si="19"/>
        <v>-283.77461688539051</v>
      </c>
    </row>
    <row r="93" spans="2:16">
      <c r="B93" s="3" t="s">
        <v>65</v>
      </c>
      <c r="C93" s="11"/>
      <c r="D93" s="11">
        <f t="shared" ref="D93:O93" si="21">+D76-C76</f>
        <v>-362.97420333839182</v>
      </c>
      <c r="E93" s="11">
        <f t="shared" si="21"/>
        <v>0</v>
      </c>
      <c r="F93" s="11">
        <f t="shared" si="21"/>
        <v>0</v>
      </c>
      <c r="G93" s="11">
        <f t="shared" si="21"/>
        <v>0</v>
      </c>
      <c r="H93" s="11">
        <f t="shared" si="21"/>
        <v>0</v>
      </c>
      <c r="I93" s="11">
        <f t="shared" si="21"/>
        <v>0</v>
      </c>
      <c r="J93" s="11">
        <f t="shared" si="21"/>
        <v>0</v>
      </c>
      <c r="K93" s="11">
        <f t="shared" si="21"/>
        <v>0</v>
      </c>
      <c r="L93" s="11">
        <f t="shared" si="21"/>
        <v>0</v>
      </c>
      <c r="M93" s="11">
        <f t="shared" si="21"/>
        <v>0</v>
      </c>
      <c r="N93" s="11">
        <f t="shared" si="21"/>
        <v>0</v>
      </c>
      <c r="O93" s="11">
        <f t="shared" si="21"/>
        <v>0</v>
      </c>
      <c r="P93" s="73">
        <f t="shared" si="19"/>
        <v>-362.97420333839182</v>
      </c>
    </row>
    <row r="94" spans="2:16">
      <c r="B94" s="3" t="s">
        <v>66</v>
      </c>
      <c r="C94" s="11"/>
      <c r="D94" s="11">
        <f t="shared" ref="D94:O94" si="22">+D77-C77</f>
        <v>-304.02941519785236</v>
      </c>
      <c r="E94" s="11">
        <f t="shared" si="22"/>
        <v>0</v>
      </c>
      <c r="F94" s="11">
        <f t="shared" si="22"/>
        <v>0</v>
      </c>
      <c r="G94" s="11">
        <f t="shared" si="22"/>
        <v>0</v>
      </c>
      <c r="H94" s="11">
        <f t="shared" si="22"/>
        <v>0</v>
      </c>
      <c r="I94" s="11">
        <f t="shared" si="22"/>
        <v>0</v>
      </c>
      <c r="J94" s="11">
        <f t="shared" si="22"/>
        <v>0</v>
      </c>
      <c r="K94" s="11">
        <f t="shared" si="22"/>
        <v>0</v>
      </c>
      <c r="L94" s="11">
        <f t="shared" si="22"/>
        <v>0</v>
      </c>
      <c r="M94" s="11">
        <f t="shared" si="22"/>
        <v>0</v>
      </c>
      <c r="N94" s="11">
        <f t="shared" si="22"/>
        <v>0</v>
      </c>
      <c r="O94" s="11">
        <f t="shared" si="22"/>
        <v>0</v>
      </c>
      <c r="P94" s="73">
        <f t="shared" si="19"/>
        <v>-304.02941519785236</v>
      </c>
    </row>
    <row r="95" spans="2:16">
      <c r="B95" s="3" t="s">
        <v>67</v>
      </c>
      <c r="C95" s="11"/>
      <c r="D95" s="11">
        <f t="shared" ref="D95:O95" si="23">+D78-C78</f>
        <v>-686.09448214911026</v>
      </c>
      <c r="E95" s="11">
        <f t="shared" si="23"/>
        <v>0</v>
      </c>
      <c r="F95" s="11">
        <f t="shared" si="23"/>
        <v>0</v>
      </c>
      <c r="G95" s="11">
        <f t="shared" si="23"/>
        <v>0</v>
      </c>
      <c r="H95" s="11">
        <f t="shared" si="23"/>
        <v>0</v>
      </c>
      <c r="I95" s="11">
        <f t="shared" si="23"/>
        <v>0</v>
      </c>
      <c r="J95" s="11">
        <f t="shared" si="23"/>
        <v>0</v>
      </c>
      <c r="K95" s="11">
        <f t="shared" si="23"/>
        <v>0</v>
      </c>
      <c r="L95" s="11">
        <f t="shared" si="23"/>
        <v>0</v>
      </c>
      <c r="M95" s="11">
        <f t="shared" si="23"/>
        <v>0</v>
      </c>
      <c r="N95" s="11">
        <f t="shared" si="23"/>
        <v>0</v>
      </c>
      <c r="O95" s="11">
        <f t="shared" si="23"/>
        <v>0</v>
      </c>
      <c r="P95" s="73">
        <f t="shared" si="19"/>
        <v>-686.09448214911026</v>
      </c>
    </row>
    <row r="96" spans="2:16">
      <c r="B96" s="3" t="s">
        <v>68</v>
      </c>
      <c r="C96" s="11"/>
      <c r="D96" s="11">
        <f t="shared" ref="D96:O96" si="24">+D79-C79</f>
        <v>-238.74835331587929</v>
      </c>
      <c r="E96" s="11">
        <f t="shared" si="24"/>
        <v>0</v>
      </c>
      <c r="F96" s="11">
        <f t="shared" si="24"/>
        <v>0</v>
      </c>
      <c r="G96" s="11">
        <f t="shared" si="24"/>
        <v>0</v>
      </c>
      <c r="H96" s="11">
        <f t="shared" si="24"/>
        <v>0</v>
      </c>
      <c r="I96" s="11">
        <f t="shared" si="24"/>
        <v>0</v>
      </c>
      <c r="J96" s="11">
        <f t="shared" si="24"/>
        <v>0</v>
      </c>
      <c r="K96" s="11">
        <f t="shared" si="24"/>
        <v>0</v>
      </c>
      <c r="L96" s="11">
        <f t="shared" si="24"/>
        <v>0</v>
      </c>
      <c r="M96" s="11">
        <f t="shared" si="24"/>
        <v>0</v>
      </c>
      <c r="N96" s="11">
        <f t="shared" si="24"/>
        <v>0</v>
      </c>
      <c r="O96" s="11">
        <f t="shared" si="24"/>
        <v>0</v>
      </c>
      <c r="P96" s="73">
        <f t="shared" si="19"/>
        <v>-238.74835331587929</v>
      </c>
    </row>
    <row r="97" spans="2:16">
      <c r="B97" s="3" t="s">
        <v>69</v>
      </c>
      <c r="C97" s="11"/>
      <c r="D97" s="11">
        <f t="shared" ref="D97:O97" si="25">+D80-C80</f>
        <v>-364.37025796661601</v>
      </c>
      <c r="E97" s="11">
        <f t="shared" si="25"/>
        <v>0</v>
      </c>
      <c r="F97" s="11">
        <f t="shared" si="25"/>
        <v>0</v>
      </c>
      <c r="G97" s="11">
        <f t="shared" si="25"/>
        <v>0</v>
      </c>
      <c r="H97" s="11">
        <f t="shared" si="25"/>
        <v>0</v>
      </c>
      <c r="I97" s="11">
        <f t="shared" si="25"/>
        <v>0</v>
      </c>
      <c r="J97" s="11">
        <f t="shared" si="25"/>
        <v>0</v>
      </c>
      <c r="K97" s="11">
        <f t="shared" si="25"/>
        <v>0</v>
      </c>
      <c r="L97" s="11">
        <f t="shared" si="25"/>
        <v>0</v>
      </c>
      <c r="M97" s="11">
        <f t="shared" si="25"/>
        <v>0</v>
      </c>
      <c r="N97" s="11">
        <f t="shared" si="25"/>
        <v>0</v>
      </c>
      <c r="O97" s="11">
        <f t="shared" si="25"/>
        <v>0</v>
      </c>
      <c r="P97" s="73">
        <f t="shared" si="19"/>
        <v>-364.37025796661601</v>
      </c>
    </row>
    <row r="98" spans="2:16">
      <c r="B98" s="3" t="s">
        <v>70</v>
      </c>
      <c r="C98" s="11"/>
      <c r="D98" s="11">
        <f t="shared" ref="D98:O98" si="26">+D81-C81</f>
        <v>-209.24861178275455</v>
      </c>
      <c r="E98" s="11">
        <f t="shared" si="26"/>
        <v>0</v>
      </c>
      <c r="F98" s="11">
        <f t="shared" si="26"/>
        <v>0</v>
      </c>
      <c r="G98" s="11">
        <f t="shared" si="26"/>
        <v>0</v>
      </c>
      <c r="H98" s="11">
        <f t="shared" si="26"/>
        <v>0</v>
      </c>
      <c r="I98" s="11">
        <f t="shared" si="26"/>
        <v>0</v>
      </c>
      <c r="J98" s="11">
        <f t="shared" si="26"/>
        <v>0</v>
      </c>
      <c r="K98" s="11">
        <f t="shared" si="26"/>
        <v>0</v>
      </c>
      <c r="L98" s="11">
        <f t="shared" si="26"/>
        <v>0</v>
      </c>
      <c r="M98" s="11">
        <f t="shared" si="26"/>
        <v>0</v>
      </c>
      <c r="N98" s="11">
        <f t="shared" si="26"/>
        <v>0</v>
      </c>
      <c r="O98" s="11">
        <f t="shared" si="26"/>
        <v>0</v>
      </c>
      <c r="P98" s="73">
        <f t="shared" si="19"/>
        <v>-209.24861178275455</v>
      </c>
    </row>
    <row r="99" spans="2:16">
      <c r="B99" s="3" t="s">
        <v>71</v>
      </c>
      <c r="C99" s="11"/>
      <c r="D99" s="11">
        <f t="shared" ref="D99:O99" si="27">+D82-C82</f>
        <v>-244.82515966582787</v>
      </c>
      <c r="E99" s="11">
        <f t="shared" si="27"/>
        <v>0</v>
      </c>
      <c r="F99" s="11">
        <f t="shared" si="27"/>
        <v>0</v>
      </c>
      <c r="G99" s="11">
        <f t="shared" si="27"/>
        <v>0</v>
      </c>
      <c r="H99" s="11">
        <f t="shared" si="27"/>
        <v>0</v>
      </c>
      <c r="I99" s="11">
        <f t="shared" si="27"/>
        <v>0</v>
      </c>
      <c r="J99" s="11">
        <f t="shared" si="27"/>
        <v>0</v>
      </c>
      <c r="K99" s="11">
        <f t="shared" si="27"/>
        <v>0</v>
      </c>
      <c r="L99" s="11">
        <f t="shared" si="27"/>
        <v>0</v>
      </c>
      <c r="M99" s="11">
        <f t="shared" si="27"/>
        <v>0</v>
      </c>
      <c r="N99" s="11">
        <f t="shared" si="27"/>
        <v>0</v>
      </c>
      <c r="O99" s="11">
        <f t="shared" si="27"/>
        <v>0</v>
      </c>
      <c r="P99" s="73">
        <f t="shared" si="19"/>
        <v>-244.82515966582787</v>
      </c>
    </row>
    <row r="100" spans="2:16">
      <c r="B100" s="3" t="s">
        <v>72</v>
      </c>
      <c r="C100" s="11"/>
      <c r="D100" s="11">
        <f t="shared" ref="D100:O100" si="28">+D83-C83</f>
        <v>-294.07110340342501</v>
      </c>
      <c r="E100" s="11">
        <f t="shared" si="28"/>
        <v>0</v>
      </c>
      <c r="F100" s="11">
        <f t="shared" si="28"/>
        <v>0</v>
      </c>
      <c r="G100" s="11">
        <f t="shared" si="28"/>
        <v>0</v>
      </c>
      <c r="H100" s="11">
        <f t="shared" si="28"/>
        <v>0</v>
      </c>
      <c r="I100" s="11">
        <f t="shared" si="28"/>
        <v>0</v>
      </c>
      <c r="J100" s="11">
        <f t="shared" si="28"/>
        <v>0</v>
      </c>
      <c r="K100" s="11">
        <f t="shared" si="28"/>
        <v>0</v>
      </c>
      <c r="L100" s="11">
        <f t="shared" si="28"/>
        <v>0</v>
      </c>
      <c r="M100" s="11">
        <f t="shared" si="28"/>
        <v>0</v>
      </c>
      <c r="N100" s="11">
        <f t="shared" si="28"/>
        <v>0</v>
      </c>
      <c r="O100" s="11">
        <f t="shared" si="28"/>
        <v>0</v>
      </c>
      <c r="P100" s="73">
        <f t="shared" si="19"/>
        <v>-294.07110340342501</v>
      </c>
    </row>
    <row r="101" spans="2:16">
      <c r="B101" s="3" t="s">
        <v>73</v>
      </c>
      <c r="C101" s="11"/>
      <c r="D101" s="11">
        <f t="shared" ref="D101:O101" si="29">+D84-C84</f>
        <v>-491.26042055061771</v>
      </c>
      <c r="E101" s="11">
        <f t="shared" si="29"/>
        <v>0</v>
      </c>
      <c r="F101" s="11">
        <f t="shared" si="29"/>
        <v>0</v>
      </c>
      <c r="G101" s="11">
        <f t="shared" si="29"/>
        <v>0</v>
      </c>
      <c r="H101" s="11">
        <f t="shared" si="29"/>
        <v>0</v>
      </c>
      <c r="I101" s="11">
        <f t="shared" si="29"/>
        <v>0</v>
      </c>
      <c r="J101" s="11">
        <f t="shared" si="29"/>
        <v>0</v>
      </c>
      <c r="K101" s="11">
        <f t="shared" si="29"/>
        <v>0</v>
      </c>
      <c r="L101" s="11">
        <f t="shared" si="29"/>
        <v>0</v>
      </c>
      <c r="M101" s="11">
        <f t="shared" si="29"/>
        <v>0</v>
      </c>
      <c r="N101" s="11">
        <f t="shared" si="29"/>
        <v>0</v>
      </c>
      <c r="O101" s="11">
        <f t="shared" si="29"/>
        <v>0</v>
      </c>
      <c r="P101" s="73">
        <f t="shared" si="19"/>
        <v>-491.26042055061771</v>
      </c>
    </row>
    <row r="102" spans="2:16">
      <c r="B102" s="1"/>
      <c r="C102" s="1"/>
      <c r="D102" s="1"/>
      <c r="E102" s="1"/>
      <c r="F102" s="1"/>
      <c r="G102" s="38"/>
      <c r="H102" s="38"/>
      <c r="I102" s="38"/>
      <c r="J102" s="1"/>
      <c r="K102" s="1"/>
      <c r="L102" s="1"/>
      <c r="M102" s="1"/>
      <c r="N102" s="1"/>
      <c r="O102" s="38"/>
      <c r="P102" s="73"/>
    </row>
    <row r="103" spans="2:16">
      <c r="B103" s="3" t="s">
        <v>82</v>
      </c>
      <c r="C103" s="42"/>
      <c r="D103" s="42">
        <f t="shared" ref="D103:O103" si="30">SUM(D91:D101)</f>
        <v>-5482.9780642558635</v>
      </c>
      <c r="E103" s="42">
        <f t="shared" si="30"/>
        <v>0</v>
      </c>
      <c r="F103" s="42">
        <f t="shared" si="30"/>
        <v>0</v>
      </c>
      <c r="G103" s="42">
        <f t="shared" si="30"/>
        <v>0</v>
      </c>
      <c r="H103" s="42">
        <f t="shared" si="30"/>
        <v>0</v>
      </c>
      <c r="I103" s="42">
        <f t="shared" si="30"/>
        <v>0</v>
      </c>
      <c r="J103" s="42">
        <f t="shared" si="30"/>
        <v>0</v>
      </c>
      <c r="K103" s="42">
        <f t="shared" si="30"/>
        <v>0</v>
      </c>
      <c r="L103" s="42">
        <f t="shared" si="30"/>
        <v>0</v>
      </c>
      <c r="M103" s="42">
        <f t="shared" si="30"/>
        <v>0</v>
      </c>
      <c r="N103" s="42">
        <f t="shared" si="30"/>
        <v>0</v>
      </c>
      <c r="O103" s="42">
        <f t="shared" si="30"/>
        <v>0</v>
      </c>
      <c r="P103" s="73">
        <f t="shared" si="19"/>
        <v>-5482.9780642558635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7" tint="-0.499984740745262"/>
  </sheetPr>
  <dimension ref="B3:Z75"/>
  <sheetViews>
    <sheetView showGridLines="0" workbookViewId="0">
      <selection activeCell="N17" sqref="N17"/>
    </sheetView>
  </sheetViews>
  <sheetFormatPr defaultRowHeight="14.15"/>
  <cols>
    <col min="1" max="1" width="2.7109375" customWidth="1"/>
    <col min="2" max="2" width="21.140625" customWidth="1"/>
    <col min="3" max="3" width="7.140625" customWidth="1"/>
    <col min="4" max="18" width="9" customWidth="1"/>
    <col min="19" max="19" width="11.5703125" customWidth="1"/>
    <col min="20" max="20" width="10.85546875" customWidth="1"/>
  </cols>
  <sheetData>
    <row r="3" spans="2:26" ht="18.45">
      <c r="B3" s="29" t="s">
        <v>83</v>
      </c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8"/>
      <c r="V3" s="8"/>
      <c r="W3" s="8"/>
      <c r="X3" s="8"/>
      <c r="Y3" s="8"/>
      <c r="Z3" s="8"/>
    </row>
    <row r="4" spans="2:26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2:26" ht="25.75">
      <c r="B5" s="2" t="s">
        <v>249</v>
      </c>
      <c r="C5" s="2" t="s">
        <v>38</v>
      </c>
      <c r="D5" s="2" t="s">
        <v>9</v>
      </c>
      <c r="E5" s="2" t="s">
        <v>39</v>
      </c>
      <c r="F5" s="2" t="s">
        <v>40</v>
      </c>
      <c r="G5" s="2" t="s">
        <v>41</v>
      </c>
      <c r="H5" s="2" t="s">
        <v>42</v>
      </c>
      <c r="I5" s="2" t="s">
        <v>43</v>
      </c>
      <c r="J5" s="2" t="s">
        <v>44</v>
      </c>
      <c r="K5" s="2" t="s">
        <v>45</v>
      </c>
      <c r="L5" s="2" t="s">
        <v>46</v>
      </c>
      <c r="M5" s="2" t="s">
        <v>47</v>
      </c>
      <c r="N5" s="2" t="s">
        <v>48</v>
      </c>
      <c r="O5" s="2" t="s">
        <v>49</v>
      </c>
      <c r="P5" s="2" t="s">
        <v>84</v>
      </c>
      <c r="Q5" s="2" t="s">
        <v>85</v>
      </c>
      <c r="R5" s="2" t="s">
        <v>86</v>
      </c>
      <c r="S5" s="2" t="s">
        <v>87</v>
      </c>
      <c r="T5" s="2" t="s">
        <v>88</v>
      </c>
      <c r="U5" s="1"/>
      <c r="V5" s="1"/>
      <c r="W5" s="1"/>
      <c r="X5" s="1"/>
      <c r="Y5" s="1"/>
      <c r="Z5" s="1"/>
    </row>
    <row r="6" spans="2:26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1"/>
      <c r="V6" s="1"/>
      <c r="W6" s="1"/>
      <c r="X6" s="1"/>
      <c r="Y6" s="1"/>
      <c r="Z6" s="1"/>
    </row>
    <row r="7" spans="2:26">
      <c r="B7" s="3" t="s">
        <v>89</v>
      </c>
      <c r="C7" s="22">
        <f>100%-C8-C9-C10</f>
        <v>0.84356450832930341</v>
      </c>
      <c r="D7" s="5">
        <f t="shared" ref="D7:O7" si="0">100%-D8-D9-D10</f>
        <v>0.83280023347953858</v>
      </c>
      <c r="E7" s="5">
        <f t="shared" si="0"/>
        <v>0.83227555070968928</v>
      </c>
      <c r="F7" s="5">
        <f t="shared" si="0"/>
        <v>0.83250594074942497</v>
      </c>
      <c r="G7" s="5">
        <f t="shared" si="0"/>
        <v>0.83176039554920722</v>
      </c>
      <c r="H7" s="5">
        <f t="shared" si="0"/>
        <v>0.83103388043756876</v>
      </c>
      <c r="I7" s="5">
        <f t="shared" si="0"/>
        <v>0.81244532814112769</v>
      </c>
      <c r="J7" s="5">
        <f t="shared" si="0"/>
        <v>0.81284634839497505</v>
      </c>
      <c r="K7" s="5">
        <f t="shared" si="0"/>
        <v>0.79457917028200031</v>
      </c>
      <c r="L7" s="5">
        <f t="shared" si="0"/>
        <v>0.79411463872182819</v>
      </c>
      <c r="M7" s="5">
        <f t="shared" si="0"/>
        <v>0.77892774324466529</v>
      </c>
      <c r="N7" s="5">
        <f t="shared" si="0"/>
        <v>0.77854309121709497</v>
      </c>
      <c r="O7" s="5">
        <f t="shared" si="0"/>
        <v>0.76214625175650985</v>
      </c>
      <c r="P7" s="22">
        <v>2.5000000000000001E-2</v>
      </c>
      <c r="Q7" s="114" t="s">
        <v>90</v>
      </c>
      <c r="R7" s="22">
        <v>0</v>
      </c>
      <c r="S7" s="9">
        <f>'01_Master_Variables'!C6*C7*(P7+R7)</f>
        <v>632.34649999999999</v>
      </c>
      <c r="T7" s="10">
        <f>MAX(0,100-(P7+R7)*300)</f>
        <v>92.5</v>
      </c>
      <c r="U7" s="1"/>
      <c r="V7" s="1"/>
      <c r="W7" s="1"/>
      <c r="X7" s="1"/>
      <c r="Y7" s="1"/>
      <c r="Z7" s="1"/>
    </row>
    <row r="8" spans="2:26">
      <c r="B8" s="3" t="s">
        <v>91</v>
      </c>
      <c r="C8" s="22">
        <v>0.05</v>
      </c>
      <c r="D8" s="5">
        <v>0.05</v>
      </c>
      <c r="E8" s="5">
        <v>0.05</v>
      </c>
      <c r="F8" s="5">
        <v>0.05</v>
      </c>
      <c r="G8" s="5">
        <v>0.05</v>
      </c>
      <c r="H8" s="5">
        <v>0.05</v>
      </c>
      <c r="I8" s="5">
        <v>0.05</v>
      </c>
      <c r="J8" s="5">
        <v>0.05</v>
      </c>
      <c r="K8" s="5">
        <v>0.05</v>
      </c>
      <c r="L8" s="5">
        <v>0.05</v>
      </c>
      <c r="M8" s="5">
        <v>0.05</v>
      </c>
      <c r="N8" s="5">
        <v>0.05</v>
      </c>
      <c r="O8" s="5">
        <v>0.05</v>
      </c>
      <c r="P8" s="22">
        <v>0.12</v>
      </c>
      <c r="Q8" s="114" t="s">
        <v>92</v>
      </c>
      <c r="R8" s="22">
        <v>0</v>
      </c>
      <c r="S8" s="9">
        <f>'01_Master_Variables'!C6*C8*(P8+R8)</f>
        <v>179.90700000000001</v>
      </c>
      <c r="T8" s="10">
        <f>MAX(0,100-(P8+R8)*300)</f>
        <v>64</v>
      </c>
      <c r="U8" s="1"/>
      <c r="V8" s="1"/>
      <c r="W8" s="1"/>
      <c r="X8" s="1"/>
      <c r="Y8" s="1"/>
      <c r="Z8" s="1"/>
    </row>
    <row r="9" spans="2:26">
      <c r="B9" s="3" t="s">
        <v>93</v>
      </c>
      <c r="C9" s="22">
        <v>7.0000000000000007E-2</v>
      </c>
      <c r="D9" s="5">
        <v>0.08</v>
      </c>
      <c r="E9" s="5">
        <v>0.08</v>
      </c>
      <c r="F9" s="5">
        <v>0.08</v>
      </c>
      <c r="G9" s="5">
        <v>0.08</v>
      </c>
      <c r="H9" s="5">
        <v>0.08</v>
      </c>
      <c r="I9" s="5">
        <v>0.08</v>
      </c>
      <c r="J9" s="5">
        <v>0.08</v>
      </c>
      <c r="K9" s="5">
        <v>0.08</v>
      </c>
      <c r="L9" s="5">
        <v>0.08</v>
      </c>
      <c r="M9" s="5">
        <v>0.08</v>
      </c>
      <c r="N9" s="5">
        <v>0.08</v>
      </c>
      <c r="O9" s="5">
        <v>0.08</v>
      </c>
      <c r="P9" s="22">
        <v>5.5E-2</v>
      </c>
      <c r="Q9" s="114" t="s">
        <v>94</v>
      </c>
      <c r="R9" s="22">
        <v>0</v>
      </c>
      <c r="S9" s="9">
        <f>'01_Master_Variables'!C6*C9*(P9+R9)</f>
        <v>115.44032500000003</v>
      </c>
      <c r="T9" s="10">
        <f>MAX(0,100-(P9+R9)*300)</f>
        <v>83.5</v>
      </c>
      <c r="U9" s="1"/>
      <c r="V9" s="1"/>
      <c r="W9" s="1"/>
      <c r="X9" s="1"/>
      <c r="Y9" s="1"/>
      <c r="Z9" s="1"/>
    </row>
    <row r="10" spans="2:26">
      <c r="B10" s="3" t="s">
        <v>95</v>
      </c>
      <c r="C10" s="6">
        <f>+('07_PL_TiposPDV'!D25+'07_PL_TiposPDV'!D26)/'01_Master_Variables'!C6</f>
        <v>3.6435491670696527E-2</v>
      </c>
      <c r="D10" s="6">
        <f>+('07_PL_TiposPDV'!E25+'07_PL_TiposPDV'!E26)/'01_Master_Variables'!D6</f>
        <v>3.7199766520461447E-2</v>
      </c>
      <c r="E10" s="6">
        <f>+('07_PL_TiposPDV'!F25+'07_PL_TiposPDV'!F26)/'01_Master_Variables'!E6</f>
        <v>3.7724449290310734E-2</v>
      </c>
      <c r="F10" s="6">
        <f>+('07_PL_TiposPDV'!G25+'07_PL_TiposPDV'!G26)/'01_Master_Variables'!F6</f>
        <v>3.7494059250574995E-2</v>
      </c>
      <c r="G10" s="6">
        <f>+('07_PL_TiposPDV'!H25+'07_PL_TiposPDV'!H26)/'01_Master_Variables'!G6</f>
        <v>3.823960445079283E-2</v>
      </c>
      <c r="H10" s="6">
        <f>+('07_PL_TiposPDV'!I25+'07_PL_TiposPDV'!I26)/'01_Master_Variables'!H6</f>
        <v>3.8966119562431269E-2</v>
      </c>
      <c r="I10" s="6">
        <f>+('07_PL_TiposPDV'!J25+'07_PL_TiposPDV'!J26)/'01_Master_Variables'!I6</f>
        <v>5.7554671858872281E-2</v>
      </c>
      <c r="J10" s="6">
        <f>+('07_PL_TiposPDV'!K25+'07_PL_TiposPDV'!K26)/'01_Master_Variables'!J6</f>
        <v>5.7153651605024912E-2</v>
      </c>
      <c r="K10" s="6">
        <f>+('07_PL_TiposPDV'!L25+'07_PL_TiposPDV'!L26)/'01_Master_Variables'!K6</f>
        <v>7.5420829717999696E-2</v>
      </c>
      <c r="L10" s="6">
        <f>+('07_PL_TiposPDV'!M25+'07_PL_TiposPDV'!M26)/'01_Master_Variables'!L6</f>
        <v>7.588536127817179E-2</v>
      </c>
      <c r="M10" s="6">
        <f>+('07_PL_TiposPDV'!N25+'07_PL_TiposPDV'!N26)/'01_Master_Variables'!M6</f>
        <v>9.1072256755334716E-2</v>
      </c>
      <c r="N10" s="6">
        <f>+('07_PL_TiposPDV'!O25+'07_PL_TiposPDV'!O26)/'01_Master_Variables'!N6</f>
        <v>9.145690878290505E-2</v>
      </c>
      <c r="O10" s="6">
        <f>+('07_PL_TiposPDV'!P25+'07_PL_TiposPDV'!P26)/'01_Master_Variables'!O6</f>
        <v>0.10785374824349016</v>
      </c>
      <c r="P10" s="22">
        <v>8.5000000000000006E-2</v>
      </c>
      <c r="Q10" s="114" t="s">
        <v>96</v>
      </c>
      <c r="R10" s="22">
        <v>0.01</v>
      </c>
      <c r="S10" s="9">
        <f>'01_Master_Variables'!C6*C10*(P10+R10)</f>
        <v>103.78749999999999</v>
      </c>
      <c r="T10" s="10">
        <f>MAX(0,100-(P10+R10)*300)</f>
        <v>71.5</v>
      </c>
      <c r="U10" s="1"/>
      <c r="V10" s="1"/>
      <c r="W10" s="1"/>
      <c r="X10" s="1"/>
      <c r="Y10" s="1"/>
      <c r="Z10" s="1"/>
    </row>
    <row r="11" spans="2:26">
      <c r="B11" s="3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3"/>
      <c r="R11" s="6"/>
      <c r="S11" s="9"/>
      <c r="T11" s="10"/>
      <c r="U11" s="1"/>
      <c r="V11" s="1"/>
      <c r="W11" s="1"/>
      <c r="X11" s="1"/>
      <c r="Y11" s="1"/>
      <c r="Z11" s="1"/>
    </row>
    <row r="12" spans="2:26">
      <c r="B12" s="3" t="s">
        <v>97</v>
      </c>
      <c r="C12" s="6">
        <f>SUM(C7:C10)</f>
        <v>0.99999999999999989</v>
      </c>
      <c r="D12" s="6">
        <f t="shared" ref="D12:O12" si="1">SUM(D7:D10)</f>
        <v>1</v>
      </c>
      <c r="E12" s="6">
        <f t="shared" si="1"/>
        <v>1</v>
      </c>
      <c r="F12" s="6">
        <f t="shared" si="1"/>
        <v>1</v>
      </c>
      <c r="G12" s="6">
        <f t="shared" si="1"/>
        <v>1</v>
      </c>
      <c r="H12" s="6">
        <f t="shared" si="1"/>
        <v>1</v>
      </c>
      <c r="I12" s="6">
        <f t="shared" si="1"/>
        <v>1</v>
      </c>
      <c r="J12" s="6">
        <f t="shared" si="1"/>
        <v>1</v>
      </c>
      <c r="K12" s="6">
        <f t="shared" si="1"/>
        <v>1</v>
      </c>
      <c r="L12" s="6">
        <f t="shared" si="1"/>
        <v>1</v>
      </c>
      <c r="M12" s="6">
        <f t="shared" si="1"/>
        <v>1</v>
      </c>
      <c r="N12" s="6">
        <f t="shared" si="1"/>
        <v>1</v>
      </c>
      <c r="O12" s="6">
        <f t="shared" si="1"/>
        <v>1</v>
      </c>
      <c r="P12" s="27">
        <f>SUMPRODUCT(C7:C10,P7:P10)</f>
        <v>3.4036129500241791E-2</v>
      </c>
      <c r="Q12" s="3"/>
      <c r="R12" s="6"/>
      <c r="S12" s="9">
        <f>SUM(S7:S10)</f>
        <v>1031.481325</v>
      </c>
      <c r="T12" s="10" t="e">
        <f>SUMPRODUCT(T7:T10,#REF!)</f>
        <v>#REF!</v>
      </c>
      <c r="U12" s="1"/>
      <c r="V12" s="1"/>
      <c r="W12" s="1"/>
      <c r="X12" s="1"/>
      <c r="Y12" s="1"/>
      <c r="Z12" s="1"/>
    </row>
    <row r="13" spans="2:26">
      <c r="B13" s="61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3">
        <f>+(C7*P7+P9*C9)/(C7+C9)</f>
        <v>2.7298688248999968E-2</v>
      </c>
      <c r="Q13" s="61"/>
      <c r="R13" s="62"/>
      <c r="S13" s="64"/>
      <c r="T13" s="65"/>
      <c r="U13" s="1"/>
      <c r="V13" s="1"/>
      <c r="W13" s="1"/>
      <c r="X13" s="1"/>
      <c r="Y13" s="1"/>
      <c r="Z13" s="1"/>
    </row>
    <row r="14" spans="2:26">
      <c r="B14" s="61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3"/>
      <c r="Q14" s="61"/>
      <c r="R14" s="62"/>
      <c r="S14" s="64"/>
      <c r="T14" s="65"/>
      <c r="U14" s="1"/>
      <c r="V14" s="1"/>
      <c r="W14" s="1"/>
      <c r="X14" s="1"/>
      <c r="Y14" s="1"/>
      <c r="Z14" s="1"/>
    </row>
    <row r="15" spans="2:26" s="30" customFormat="1" ht="25.75">
      <c r="B15" s="25" t="s">
        <v>87</v>
      </c>
      <c r="C15" s="25" t="s">
        <v>38</v>
      </c>
      <c r="D15" s="25" t="s">
        <v>9</v>
      </c>
      <c r="E15" s="25" t="s">
        <v>39</v>
      </c>
      <c r="F15" s="25" t="s">
        <v>40</v>
      </c>
      <c r="G15" s="25" t="s">
        <v>41</v>
      </c>
      <c r="H15" s="25" t="s">
        <v>42</v>
      </c>
      <c r="I15" s="25" t="s">
        <v>43</v>
      </c>
      <c r="J15" s="25" t="s">
        <v>44</v>
      </c>
      <c r="K15" s="25" t="s">
        <v>45</v>
      </c>
      <c r="L15" s="25" t="s">
        <v>46</v>
      </c>
      <c r="M15" s="25" t="s">
        <v>47</v>
      </c>
      <c r="N15" s="25" t="s">
        <v>48</v>
      </c>
      <c r="O15" s="25" t="s">
        <v>49</v>
      </c>
      <c r="P15" s="25" t="s">
        <v>136</v>
      </c>
      <c r="Q15" s="84"/>
      <c r="R15" s="85"/>
      <c r="S15" s="86"/>
      <c r="T15" s="87"/>
      <c r="U15" s="50"/>
      <c r="V15" s="50"/>
      <c r="W15" s="50"/>
      <c r="X15" s="50"/>
      <c r="Y15" s="50"/>
      <c r="Z15" s="50"/>
    </row>
    <row r="16" spans="2:26">
      <c r="B16" s="3" t="s">
        <v>89</v>
      </c>
      <c r="C16" s="38">
        <f>+'01_Master_Variables'!C$6*'04_Digital_Logistica'!C7*('04_Digital_Logistica'!$P7+'04_Digital_Logistica'!$R7)</f>
        <v>632.34649999999999</v>
      </c>
      <c r="D16" s="38">
        <f>+'01_Master_Variables'!D$6*'04_Digital_Logistica'!D7*('04_Digital_Logistica'!$P7+'04_Digital_Logistica'!$R7)</f>
        <v>611.45158974045478</v>
      </c>
      <c r="E16" s="38">
        <f>+'01_Master_Variables'!E$6*'04_Digital_Logistica'!E7*('04_Digital_Logistica'!$P7+'04_Digital_Logistica'!$R7)</f>
        <v>602.56747033804481</v>
      </c>
      <c r="F16" s="38">
        <f>+'01_Master_Variables'!F$6*'04_Digital_Logistica'!F7*('04_Digital_Logistica'!$P7+'04_Digital_Logistica'!$R7)</f>
        <v>606.43789872844911</v>
      </c>
      <c r="G16" s="38">
        <f>+'01_Master_Variables'!G$6*'04_Digital_Logistica'!G7*('04_Digital_Logistica'!$P7+'04_Digital_Logistica'!$R7)</f>
        <v>594.08187217707257</v>
      </c>
      <c r="H16" s="38">
        <f>+'01_Master_Variables'!H$6*'04_Digital_Logistica'!H7*('04_Digital_Logistica'!$P7+'04_Digital_Logistica'!$R7)</f>
        <v>582.49610467588707</v>
      </c>
      <c r="I16" s="38">
        <f>+'01_Master_Variables'!I$6*'04_Digital_Logistica'!I7*('04_Digital_Logistica'!$P7+'04_Digital_Logistica'!$R7)</f>
        <v>569.93601152191093</v>
      </c>
      <c r="J16" s="38">
        <f>+'01_Master_Variables'!J$6*'04_Digital_Logistica'!J7*('04_Digital_Logistica'!$P7+'04_Digital_Logistica'!$R7)</f>
        <v>574.21827643225731</v>
      </c>
      <c r="K16" s="38">
        <f>+'01_Master_Variables'!K$6*'04_Digital_Logistica'!K7*('04_Digital_Logistica'!$P7+'04_Digital_Logistica'!$R7)</f>
        <v>562.9787496465442</v>
      </c>
      <c r="L16" s="38">
        <f>+'01_Master_Variables'!L$6*'04_Digital_Logistica'!L7*('04_Digital_Logistica'!$P7+'04_Digital_Logistica'!$R7)</f>
        <v>559.20536308896965</v>
      </c>
      <c r="M16" s="38">
        <f>+'01_Master_Variables'!M$6*'04_Digital_Logistica'!M7*('04_Digital_Logistica'!$P7+'04_Digital_Logistica'!$R7)</f>
        <v>568.76481127427473</v>
      </c>
      <c r="N16" s="38">
        <f>+'01_Master_Variables'!N$6*'04_Digital_Logistica'!N7*('04_Digital_Logistica'!$P7+'04_Digital_Logistica'!$R7)</f>
        <v>566.09299674486863</v>
      </c>
      <c r="O16" s="38">
        <f>+'01_Master_Variables'!O$6*'04_Digital_Logistica'!O7*('04_Digital_Logistica'!$P7+'04_Digital_Logistica'!$R7)</f>
        <v>562.22673892130888</v>
      </c>
      <c r="P16" s="73">
        <f t="shared" ref="P16:P20" si="2">SUM(D16:O16)</f>
        <v>6960.4578832900424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2:26">
      <c r="B17" s="3" t="s">
        <v>91</v>
      </c>
      <c r="C17" s="38">
        <f>+'01_Master_Variables'!C$6*'04_Digital_Logistica'!C8*('04_Digital_Logistica'!$P8+'04_Digital_Logistica'!$R8)</f>
        <v>179.90700000000001</v>
      </c>
      <c r="D17" s="38">
        <f>+'01_Master_Variables'!D$6*'04_Digital_Logistica'!D8*('04_Digital_Logistica'!$P8+'04_Digital_Logistica'!$R8)</f>
        <v>176.21078337667717</v>
      </c>
      <c r="E17" s="38">
        <f>+'01_Master_Variables'!E$6*'04_Digital_Logistica'!E8*('04_Digital_Logistica'!$P8+'04_Digital_Logistica'!$R8)</f>
        <v>173.75999181739166</v>
      </c>
      <c r="F17" s="38">
        <f>+'01_Master_Variables'!F$6*'04_Digital_Logistica'!F8*('04_Digital_Logistica'!$P8+'04_Digital_Logistica'!$R8)</f>
        <v>174.82769620095149</v>
      </c>
      <c r="G17" s="38">
        <f>+'01_Master_Variables'!G$6*'04_Digital_Logistica'!G8*('04_Digital_Logistica'!$P8+'04_Digital_Logistica'!$R8)</f>
        <v>171.41913715229589</v>
      </c>
      <c r="H17" s="38">
        <f>+'01_Master_Variables'!H$6*'04_Digital_Logistica'!H8*('04_Digital_Logistica'!$P8+'04_Digital_Logistica'!$R8)</f>
        <v>168.2230633588654</v>
      </c>
      <c r="I17" s="38">
        <f>+'01_Master_Variables'!I$6*'04_Digital_Logistica'!I8*('04_Digital_Logistica'!$P8+'04_Digital_Logistica'!$R8)</f>
        <v>168.36165835087195</v>
      </c>
      <c r="J17" s="38">
        <f>+'01_Master_Variables'!J$6*'04_Digital_Logistica'!J8*('04_Digital_Logistica'!$P8+'04_Digital_Logistica'!$R8)</f>
        <v>169.54297280889855</v>
      </c>
      <c r="K17" s="38">
        <f>+'01_Master_Variables'!K$6*'04_Digital_Logistica'!K8*('04_Digital_Logistica'!$P8+'04_Digital_Logistica'!$R8)</f>
        <v>170.04586197146048</v>
      </c>
      <c r="L17" s="38">
        <f>+'01_Master_Variables'!L$6*'04_Digital_Logistica'!L8*('04_Digital_Logistica'!$P8+'04_Digital_Logistica'!$R8)</f>
        <v>169.00492774868127</v>
      </c>
      <c r="M17" s="38">
        <f>+'01_Master_Variables'!M$6*'04_Digital_Logistica'!M8*('04_Digital_Logistica'!$P8+'04_Digital_Logistica'!$R8)</f>
        <v>175.24546517911028</v>
      </c>
      <c r="N17" s="38">
        <f>+'01_Master_Variables'!N$6*'04_Digital_Logistica'!N8*('04_Digital_Logistica'!$P8+'04_Digital_Logistica'!$R8)</f>
        <v>174.50841289513616</v>
      </c>
      <c r="O17" s="38">
        <f>+'01_Master_Variables'!O$6*'04_Digital_Logistica'!O8*('04_Digital_Logistica'!$P8+'04_Digital_Logistica'!$R8)</f>
        <v>177.04530728863693</v>
      </c>
      <c r="P17" s="73">
        <f t="shared" si="2"/>
        <v>2068.1952781489776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2:26">
      <c r="B18" s="3" t="s">
        <v>93</v>
      </c>
      <c r="C18" s="38">
        <f>+'01_Master_Variables'!C$6*'04_Digital_Logistica'!C9*('04_Digital_Logistica'!$P9+'04_Digital_Logistica'!$R9)</f>
        <v>115.44032500000003</v>
      </c>
      <c r="D18" s="38">
        <f>+'01_Master_Variables'!D$6*'04_Digital_Logistica'!D9*('04_Digital_Logistica'!$P9+'04_Digital_Logistica'!$R9)</f>
        <v>129.22124114289662</v>
      </c>
      <c r="E18" s="38">
        <f>+'01_Master_Variables'!E$6*'04_Digital_Logistica'!E9*('04_Digital_Logistica'!$P9+'04_Digital_Logistica'!$R9)</f>
        <v>127.42399399942056</v>
      </c>
      <c r="F18" s="38">
        <f>+'01_Master_Variables'!F$6*'04_Digital_Logistica'!F9*('04_Digital_Logistica'!$P9+'04_Digital_Logistica'!$R9)</f>
        <v>128.20697721403107</v>
      </c>
      <c r="G18" s="38">
        <f>+'01_Master_Variables'!G$6*'04_Digital_Logistica'!G9*('04_Digital_Logistica'!$P9+'04_Digital_Logistica'!$R9)</f>
        <v>125.70736724501698</v>
      </c>
      <c r="H18" s="38">
        <f>+'01_Master_Variables'!H$6*'04_Digital_Logistica'!H9*('04_Digital_Logistica'!$P9+'04_Digital_Logistica'!$R9)</f>
        <v>123.36357979650131</v>
      </c>
      <c r="I18" s="38">
        <f>+'01_Master_Variables'!I$6*'04_Digital_Logistica'!I9*('04_Digital_Logistica'!$P9+'04_Digital_Logistica'!$R9)</f>
        <v>123.46521612397277</v>
      </c>
      <c r="J18" s="38">
        <f>+'01_Master_Variables'!J$6*'04_Digital_Logistica'!J9*('04_Digital_Logistica'!$P9+'04_Digital_Logistica'!$R9)</f>
        <v>124.33151339319228</v>
      </c>
      <c r="K18" s="38">
        <f>+'01_Master_Variables'!K$6*'04_Digital_Logistica'!K9*('04_Digital_Logistica'!$P9+'04_Digital_Logistica'!$R9)</f>
        <v>124.70029877907101</v>
      </c>
      <c r="L18" s="38">
        <f>+'01_Master_Variables'!L$6*'04_Digital_Logistica'!L9*('04_Digital_Logistica'!$P9+'04_Digital_Logistica'!$R9)</f>
        <v>123.93694701569962</v>
      </c>
      <c r="M18" s="38">
        <f>+'01_Master_Variables'!M$6*'04_Digital_Logistica'!M9*('04_Digital_Logistica'!$P9+'04_Digital_Logistica'!$R9)</f>
        <v>128.51334113134752</v>
      </c>
      <c r="N18" s="38">
        <f>+'01_Master_Variables'!N$6*'04_Digital_Logistica'!N9*('04_Digital_Logistica'!$P9+'04_Digital_Logistica'!$R9)</f>
        <v>127.97283612309985</v>
      </c>
      <c r="O18" s="38">
        <f>+'01_Master_Variables'!O$6*'04_Digital_Logistica'!O9*('04_Digital_Logistica'!$P9+'04_Digital_Logistica'!$R9)</f>
        <v>129.83322534500041</v>
      </c>
      <c r="P18" s="73">
        <f t="shared" si="2"/>
        <v>1516.6765373092499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2:26">
      <c r="B19" s="3" t="s">
        <v>95</v>
      </c>
      <c r="C19" s="38">
        <f>+'01_Master_Variables'!C$6*'04_Digital_Logistica'!C10*('04_Digital_Logistica'!$P10+'04_Digital_Logistica'!$R10)</f>
        <v>103.78749999999999</v>
      </c>
      <c r="D19" s="38">
        <f>+'01_Master_Variables'!D$6*'04_Digital_Logistica'!D10*('04_Digital_Logistica'!$P10+'04_Digital_Logistica'!$R10)</f>
        <v>103.78749999999999</v>
      </c>
      <c r="E19" s="38">
        <f>+'01_Master_Variables'!E$6*'04_Digital_Logistica'!E10*('04_Digital_Logistica'!$P10+'04_Digital_Logistica'!$R10)</f>
        <v>103.78749999999999</v>
      </c>
      <c r="F19" s="38">
        <f>+'01_Master_Variables'!F$6*'04_Digital_Logistica'!F10*('04_Digital_Logistica'!$P10+'04_Digital_Logistica'!$R10)</f>
        <v>103.78749999999999</v>
      </c>
      <c r="G19" s="38">
        <f>+'01_Master_Variables'!G$6*'04_Digital_Logistica'!G10*('04_Digital_Logistica'!$P10+'04_Digital_Logistica'!$R10)</f>
        <v>103.78749999999999</v>
      </c>
      <c r="H19" s="38">
        <f>+'01_Master_Variables'!H$6*'04_Digital_Logistica'!H10*('04_Digital_Logistica'!$P10+'04_Digital_Logistica'!$R10)</f>
        <v>103.78749999999999</v>
      </c>
      <c r="I19" s="38">
        <f>+'01_Master_Variables'!I$6*'04_Digital_Logistica'!I10*('04_Digital_Logistica'!$P10+'04_Digital_Logistica'!$R10)</f>
        <v>153.42500000000001</v>
      </c>
      <c r="J19" s="38">
        <f>+'01_Master_Variables'!J$6*'04_Digital_Logistica'!J10*('04_Digital_Logistica'!$P10+'04_Digital_Logistica'!$R10)</f>
        <v>153.42500000000001</v>
      </c>
      <c r="K19" s="38">
        <f>+'01_Master_Variables'!K$6*'04_Digital_Logistica'!K10*('04_Digital_Logistica'!$P10+'04_Digital_Logistica'!$R10)</f>
        <v>203.0625</v>
      </c>
      <c r="L19" s="38">
        <f>+'01_Master_Variables'!L$6*'04_Digital_Logistica'!L10*('04_Digital_Logistica'!$P10+'04_Digital_Logistica'!$R10)</f>
        <v>203.0625</v>
      </c>
      <c r="M19" s="38">
        <f>+'01_Master_Variables'!M$6*'04_Digital_Logistica'!M10*('04_Digital_Logistica'!$P10+'04_Digital_Logistica'!$R10)</f>
        <v>252.70000000000002</v>
      </c>
      <c r="N19" s="38">
        <f>+'01_Master_Variables'!N$6*'04_Digital_Logistica'!N10*('04_Digital_Logistica'!$P10+'04_Digital_Logistica'!$R10)</f>
        <v>252.70000000000002</v>
      </c>
      <c r="O19" s="38">
        <f>+'01_Master_Variables'!O$6*'04_Digital_Logistica'!O10*('04_Digital_Logistica'!$P10+'04_Digital_Logistica'!$R10)</f>
        <v>302.33749999999998</v>
      </c>
      <c r="P19" s="73">
        <f t="shared" si="2"/>
        <v>2039.65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2:26">
      <c r="B20" s="1"/>
      <c r="C20" s="42">
        <f>SUM(C16:C19)</f>
        <v>1031.481325</v>
      </c>
      <c r="D20" s="42">
        <f t="shared" ref="D20:O20" si="3">SUM(D16:D19)</f>
        <v>1020.6711142600285</v>
      </c>
      <c r="E20" s="42">
        <f t="shared" si="3"/>
        <v>1007.538956154857</v>
      </c>
      <c r="F20" s="42">
        <f t="shared" si="3"/>
        <v>1013.2600721434317</v>
      </c>
      <c r="G20" s="42">
        <f t="shared" si="3"/>
        <v>994.99587657438542</v>
      </c>
      <c r="H20" s="42">
        <f t="shared" si="3"/>
        <v>977.87024783125378</v>
      </c>
      <c r="I20" s="42">
        <f t="shared" si="3"/>
        <v>1015.1878859967555</v>
      </c>
      <c r="J20" s="42">
        <f t="shared" si="3"/>
        <v>1021.5177626343482</v>
      </c>
      <c r="K20" s="42">
        <f t="shared" si="3"/>
        <v>1060.7874103970757</v>
      </c>
      <c r="L20" s="42">
        <f t="shared" si="3"/>
        <v>1055.2097378533506</v>
      </c>
      <c r="M20" s="42">
        <f t="shared" si="3"/>
        <v>1125.2236175847324</v>
      </c>
      <c r="N20" s="42">
        <f t="shared" si="3"/>
        <v>1121.2742457631048</v>
      </c>
      <c r="O20" s="42">
        <f t="shared" si="3"/>
        <v>1171.4427715549461</v>
      </c>
      <c r="P20" s="73">
        <f t="shared" si="2"/>
        <v>12584.97969874827</v>
      </c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2:26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2:26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2:26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2:26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2:26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2:26">
      <c r="B26" s="2" t="s">
        <v>98</v>
      </c>
      <c r="C26" s="2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2:26">
      <c r="B27" s="19" t="s">
        <v>99</v>
      </c>
      <c r="C27" s="19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2:26">
      <c r="B28" s="19" t="s">
        <v>100</v>
      </c>
      <c r="C28" s="19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2:26">
      <c r="B29" s="19" t="s">
        <v>101</v>
      </c>
      <c r="C29" s="19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2:26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2:26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2:26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2:26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2:26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2:26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2:26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2:26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2:26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2:26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2:26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2:26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2:26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2:26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2:26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2:26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2:26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2:26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2:26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2:26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2:26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2:26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2:26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2:26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2:26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2:26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2:26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2:26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2:26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2:26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2:26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2:26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2:26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2:26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2:26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2:26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2:26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2:26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2:26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2:26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2:26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2:26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2:26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2:26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2:26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2:26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7" tint="-0.499984740745262"/>
  </sheetPr>
  <dimension ref="A2:Q93"/>
  <sheetViews>
    <sheetView showGridLines="0" zoomScaleNormal="100" workbookViewId="0">
      <pane xSplit="2" ySplit="4" topLeftCell="C40" activePane="bottomRight" state="frozen"/>
      <selection pane="topRight" activeCell="C1" sqref="C1"/>
      <selection pane="bottomLeft" activeCell="A6" sqref="A6"/>
      <selection pane="bottomRight" activeCell="C50" sqref="C50"/>
    </sheetView>
  </sheetViews>
  <sheetFormatPr defaultRowHeight="14.15"/>
  <cols>
    <col min="1" max="1" width="5.2109375" customWidth="1"/>
    <col min="2" max="2" width="27.0703125" customWidth="1"/>
    <col min="3" max="13" width="8.28515625" customWidth="1"/>
    <col min="14" max="14" width="8.28515625" style="39" customWidth="1"/>
    <col min="15" max="15" width="8.28515625" style="59" customWidth="1"/>
    <col min="16" max="16" width="9.140625" style="39"/>
  </cols>
  <sheetData>
    <row r="2" spans="2:17" ht="18.45">
      <c r="B2" s="29" t="s">
        <v>102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8"/>
      <c r="N2" s="88"/>
      <c r="O2" s="89"/>
    </row>
    <row r="3" spans="2:17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38"/>
      <c r="O3" s="14"/>
    </row>
    <row r="4" spans="2:17" ht="25.75">
      <c r="B4" s="2" t="s">
        <v>103</v>
      </c>
      <c r="C4" s="2" t="s">
        <v>104</v>
      </c>
      <c r="D4" s="2" t="s">
        <v>105</v>
      </c>
      <c r="E4" s="2" t="s">
        <v>106</v>
      </c>
      <c r="F4" s="2" t="s">
        <v>253</v>
      </c>
      <c r="G4" s="2" t="s">
        <v>107</v>
      </c>
      <c r="H4" s="1"/>
      <c r="I4" s="1"/>
      <c r="J4" s="1"/>
      <c r="K4" s="1"/>
      <c r="L4" s="1"/>
      <c r="M4" s="1"/>
      <c r="N4" s="38"/>
      <c r="O4" s="38"/>
      <c r="P4" s="14"/>
      <c r="Q4" s="39"/>
    </row>
    <row r="5" spans="2:17">
      <c r="B5" s="3" t="s">
        <v>110</v>
      </c>
      <c r="C5" s="20">
        <v>552631.57894736843</v>
      </c>
      <c r="D5" s="20">
        <f>7092*2.5</f>
        <v>17730</v>
      </c>
      <c r="E5" s="21">
        <v>1.8</v>
      </c>
      <c r="F5" s="11">
        <f>+E5*D5</f>
        <v>31914</v>
      </c>
      <c r="G5" s="22">
        <v>1.4999999999999999E-2</v>
      </c>
      <c r="H5" s="1"/>
      <c r="I5" s="1"/>
      <c r="J5" s="1"/>
      <c r="K5" s="1"/>
      <c r="L5" s="1"/>
      <c r="M5" s="1"/>
      <c r="N5" s="38"/>
      <c r="O5" s="38"/>
      <c r="P5" s="14"/>
      <c r="Q5" s="39"/>
    </row>
    <row r="6" spans="2:17">
      <c r="B6" s="3" t="s">
        <v>111</v>
      </c>
      <c r="C6" s="20">
        <v>1105263.1578947369</v>
      </c>
      <c r="D6" s="20">
        <f>7092*1.26</f>
        <v>8935.92</v>
      </c>
      <c r="E6" s="21">
        <v>0.9</v>
      </c>
      <c r="F6" s="11">
        <f t="shared" ref="F6:F7" si="0">+E6*D6</f>
        <v>8042.3280000000004</v>
      </c>
      <c r="G6" s="22">
        <v>0.06</v>
      </c>
      <c r="H6" s="1"/>
      <c r="I6" s="1"/>
      <c r="J6" s="1"/>
      <c r="K6" s="1"/>
      <c r="L6" s="1"/>
      <c r="M6" s="1"/>
      <c r="N6" s="38"/>
      <c r="O6" s="38"/>
      <c r="P6" s="14"/>
      <c r="Q6" s="39"/>
    </row>
    <row r="7" spans="2:17">
      <c r="B7" s="3" t="s">
        <v>112</v>
      </c>
      <c r="C7" s="20">
        <v>1842105.2631578946</v>
      </c>
      <c r="D7" s="20">
        <f>7092*0.6</f>
        <v>4255.2</v>
      </c>
      <c r="E7" s="21">
        <v>0.45</v>
      </c>
      <c r="F7" s="11">
        <f t="shared" si="0"/>
        <v>1914.84</v>
      </c>
      <c r="G7" s="22">
        <v>0.08</v>
      </c>
      <c r="H7" s="1"/>
      <c r="I7" s="1"/>
      <c r="J7" s="1"/>
      <c r="K7" s="1"/>
      <c r="L7" s="1"/>
      <c r="M7" s="1"/>
      <c r="N7" s="38"/>
      <c r="O7" s="38"/>
      <c r="P7" s="14"/>
      <c r="Q7" s="39"/>
    </row>
    <row r="8" spans="2:17">
      <c r="B8" s="3" t="s">
        <v>74</v>
      </c>
      <c r="C8" s="11">
        <f>SUM(C5:C7)</f>
        <v>3500000</v>
      </c>
      <c r="D8" s="11">
        <f>SUMPRODUCT(D5:D7,$C$5:$C$7)/$C$8</f>
        <v>7860.9221052631574</v>
      </c>
      <c r="E8" s="90">
        <f>SUMPRODUCT(E5:E7,$C$5:$C$7)/$C$8</f>
        <v>0.80526315789473679</v>
      </c>
      <c r="F8" s="11">
        <f>SUMPRODUCT(F5:F7,$C$5:$C$7)/$C$8</f>
        <v>8586.5456842105268</v>
      </c>
      <c r="G8" s="6">
        <f>SUMPRODUCT(G5:G7,C5:C7)/SUM(C5:C7)</f>
        <v>6.3421052631578947E-2</v>
      </c>
      <c r="H8" s="1"/>
      <c r="I8" s="1"/>
      <c r="J8" s="1"/>
      <c r="K8" s="1"/>
      <c r="L8" s="1"/>
      <c r="M8" s="1"/>
      <c r="N8" s="38"/>
      <c r="O8" s="11"/>
      <c r="P8" s="14"/>
      <c r="Q8" s="39"/>
    </row>
    <row r="9" spans="2:17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38"/>
      <c r="O9" s="14"/>
    </row>
    <row r="10" spans="2:17" ht="15.9">
      <c r="B10" s="68" t="s">
        <v>107</v>
      </c>
      <c r="C10" s="25" t="s">
        <v>38</v>
      </c>
      <c r="D10" s="25" t="s">
        <v>9</v>
      </c>
      <c r="E10" s="25" t="s">
        <v>39</v>
      </c>
      <c r="F10" s="25" t="s">
        <v>40</v>
      </c>
      <c r="G10" s="25" t="s">
        <v>41</v>
      </c>
      <c r="H10" s="25" t="s">
        <v>42</v>
      </c>
      <c r="I10" s="25" t="s">
        <v>43</v>
      </c>
      <c r="J10" s="25" t="s">
        <v>44</v>
      </c>
      <c r="K10" s="25" t="s">
        <v>45</v>
      </c>
      <c r="L10" s="25" t="s">
        <v>46</v>
      </c>
      <c r="M10" s="25" t="s">
        <v>47</v>
      </c>
      <c r="N10" s="25" t="s">
        <v>48</v>
      </c>
      <c r="O10" s="25" t="s">
        <v>49</v>
      </c>
    </row>
    <row r="11" spans="2:17">
      <c r="B11" s="3" t="s">
        <v>110</v>
      </c>
      <c r="C11" s="22">
        <v>1.4999999999999999E-2</v>
      </c>
      <c r="D11" s="22">
        <v>1.4999999999999999E-2</v>
      </c>
      <c r="E11" s="22">
        <v>1.4999999999999999E-2</v>
      </c>
      <c r="F11" s="22">
        <v>1.4999999999999999E-2</v>
      </c>
      <c r="G11" s="22">
        <v>1.4999999999999999E-2</v>
      </c>
      <c r="H11" s="22">
        <v>1.4999999999999999E-2</v>
      </c>
      <c r="I11" s="22">
        <v>1.4999999999999999E-2</v>
      </c>
      <c r="J11" s="22">
        <v>1.4999999999999999E-2</v>
      </c>
      <c r="K11" s="22">
        <v>1.4999999999999999E-2</v>
      </c>
      <c r="L11" s="22">
        <v>1.4999999999999999E-2</v>
      </c>
      <c r="M11" s="22">
        <v>1.4999999999999999E-2</v>
      </c>
      <c r="N11" s="22">
        <v>1.4999999999999999E-2</v>
      </c>
      <c r="O11" s="22">
        <v>1.4999999999999999E-2</v>
      </c>
    </row>
    <row r="12" spans="2:17">
      <c r="B12" s="3" t="s">
        <v>111</v>
      </c>
      <c r="C12" s="22">
        <v>0.06</v>
      </c>
      <c r="D12" s="22">
        <v>0.06</v>
      </c>
      <c r="E12" s="22">
        <v>0.06</v>
      </c>
      <c r="F12" s="22">
        <v>0.06</v>
      </c>
      <c r="G12" s="22">
        <v>0.06</v>
      </c>
      <c r="H12" s="22">
        <v>0.06</v>
      </c>
      <c r="I12" s="22">
        <v>0.06</v>
      </c>
      <c r="J12" s="22">
        <v>0.06</v>
      </c>
      <c r="K12" s="22">
        <v>0.06</v>
      </c>
      <c r="L12" s="22">
        <v>0.06</v>
      </c>
      <c r="M12" s="22">
        <v>0.06</v>
      </c>
      <c r="N12" s="22">
        <v>0.06</v>
      </c>
      <c r="O12" s="22">
        <v>0.06</v>
      </c>
    </row>
    <row r="13" spans="2:17">
      <c r="B13" s="3" t="s">
        <v>112</v>
      </c>
      <c r="C13" s="22">
        <v>0.08</v>
      </c>
      <c r="D13" s="22">
        <v>0.08</v>
      </c>
      <c r="E13" s="22">
        <v>0.08</v>
      </c>
      <c r="F13" s="22">
        <v>0.08</v>
      </c>
      <c r="G13" s="22">
        <v>0.08</v>
      </c>
      <c r="H13" s="22">
        <v>0.08</v>
      </c>
      <c r="I13" s="22">
        <v>0.08</v>
      </c>
      <c r="J13" s="22">
        <v>0.08</v>
      </c>
      <c r="K13" s="22">
        <v>0.08</v>
      </c>
      <c r="L13" s="22">
        <v>0.08</v>
      </c>
      <c r="M13" s="22">
        <v>0.08</v>
      </c>
      <c r="N13" s="22">
        <v>0.08</v>
      </c>
      <c r="O13" s="22">
        <v>0.08</v>
      </c>
    </row>
    <row r="14" spans="2:17">
      <c r="B14" s="3" t="s">
        <v>250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</row>
    <row r="15" spans="2:17">
      <c r="B15" s="1"/>
      <c r="C15" s="83">
        <f>SUMPRODUCT(C11:C14,$C$39:$C$42)/$C$43</f>
        <v>6.3421052631578947E-2</v>
      </c>
      <c r="D15" s="83">
        <f t="shared" ref="D15:O15" si="1">SUMPRODUCT(D11:D14,$C$39:$C$42)/$C$43</f>
        <v>6.3421052631578947E-2</v>
      </c>
      <c r="E15" s="83">
        <f t="shared" si="1"/>
        <v>6.3421052631578947E-2</v>
      </c>
      <c r="F15" s="83">
        <f t="shared" si="1"/>
        <v>6.3421052631578947E-2</v>
      </c>
      <c r="G15" s="83">
        <f t="shared" si="1"/>
        <v>6.3421052631578947E-2</v>
      </c>
      <c r="H15" s="83">
        <f t="shared" si="1"/>
        <v>6.3421052631578947E-2</v>
      </c>
      <c r="I15" s="83">
        <f t="shared" si="1"/>
        <v>6.3421052631578947E-2</v>
      </c>
      <c r="J15" s="83">
        <f t="shared" si="1"/>
        <v>6.3421052631578947E-2</v>
      </c>
      <c r="K15" s="83">
        <f t="shared" si="1"/>
        <v>6.3421052631578947E-2</v>
      </c>
      <c r="L15" s="83">
        <f t="shared" si="1"/>
        <v>6.3421052631578947E-2</v>
      </c>
      <c r="M15" s="83">
        <f t="shared" si="1"/>
        <v>6.3421052631578947E-2</v>
      </c>
      <c r="N15" s="83">
        <f t="shared" si="1"/>
        <v>6.3421052631578947E-2</v>
      </c>
      <c r="O15" s="83">
        <f t="shared" si="1"/>
        <v>6.3421052631578947E-2</v>
      </c>
    </row>
    <row r="16" spans="2:17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38"/>
      <c r="O16" s="14"/>
    </row>
    <row r="17" spans="2:15" ht="15.9">
      <c r="B17" s="68" t="s">
        <v>251</v>
      </c>
      <c r="C17" s="25" t="s">
        <v>38</v>
      </c>
      <c r="D17" s="25" t="s">
        <v>9</v>
      </c>
      <c r="E17" s="25" t="s">
        <v>39</v>
      </c>
      <c r="F17" s="25" t="s">
        <v>40</v>
      </c>
      <c r="G17" s="25" t="s">
        <v>41</v>
      </c>
      <c r="H17" s="25" t="s">
        <v>42</v>
      </c>
      <c r="I17" s="25" t="s">
        <v>43</v>
      </c>
      <c r="J17" s="25" t="s">
        <v>44</v>
      </c>
      <c r="K17" s="25" t="s">
        <v>45</v>
      </c>
      <c r="L17" s="25" t="s">
        <v>46</v>
      </c>
      <c r="M17" s="25" t="s">
        <v>47</v>
      </c>
      <c r="N17" s="25" t="s">
        <v>48</v>
      </c>
      <c r="O17" s="25" t="s">
        <v>49</v>
      </c>
    </row>
    <row r="18" spans="2:15">
      <c r="B18" s="3" t="s">
        <v>110</v>
      </c>
      <c r="C18" s="1"/>
      <c r="D18" s="5">
        <v>0.5</v>
      </c>
      <c r="E18" s="5">
        <v>0.5</v>
      </c>
      <c r="F18" s="5">
        <v>0.5</v>
      </c>
      <c r="G18" s="5">
        <v>0.5</v>
      </c>
      <c r="H18" s="5">
        <v>0.5</v>
      </c>
      <c r="I18" s="5">
        <v>0.5</v>
      </c>
      <c r="J18" s="5">
        <v>0.5</v>
      </c>
      <c r="K18" s="5">
        <v>0.5</v>
      </c>
      <c r="L18" s="5">
        <v>0.5</v>
      </c>
      <c r="M18" s="5">
        <v>0.5</v>
      </c>
      <c r="N18" s="5">
        <v>0.5</v>
      </c>
      <c r="O18" s="5">
        <v>0.5</v>
      </c>
    </row>
    <row r="19" spans="2:15">
      <c r="B19" s="3" t="s">
        <v>111</v>
      </c>
      <c r="C19" s="1"/>
      <c r="D19" s="5">
        <v>0.5</v>
      </c>
      <c r="E19" s="5">
        <v>0.5</v>
      </c>
      <c r="F19" s="5">
        <v>0.5</v>
      </c>
      <c r="G19" s="5">
        <v>0.5</v>
      </c>
      <c r="H19" s="5">
        <v>0.5</v>
      </c>
      <c r="I19" s="5">
        <v>0.5</v>
      </c>
      <c r="J19" s="5">
        <v>0.5</v>
      </c>
      <c r="K19" s="5">
        <v>0.5</v>
      </c>
      <c r="L19" s="5">
        <v>0.5</v>
      </c>
      <c r="M19" s="5">
        <v>0.5</v>
      </c>
      <c r="N19" s="5">
        <v>0.5</v>
      </c>
      <c r="O19" s="5">
        <v>0.5</v>
      </c>
    </row>
    <row r="20" spans="2:15">
      <c r="B20" s="3" t="s">
        <v>112</v>
      </c>
      <c r="C20" s="1"/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</row>
    <row r="21" spans="2:15">
      <c r="B21" s="3" t="s">
        <v>250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</row>
    <row r="22" spans="2:15">
      <c r="B22" s="1"/>
      <c r="C22" s="83">
        <f>SUM(C18:C21)</f>
        <v>0</v>
      </c>
      <c r="D22" s="83">
        <f t="shared" ref="D22" si="2">SUM(D18:D21)</f>
        <v>1</v>
      </c>
      <c r="E22" s="83">
        <f t="shared" ref="E22" si="3">SUM(E18:E21)</f>
        <v>1</v>
      </c>
      <c r="F22" s="83">
        <f t="shared" ref="F22" si="4">SUM(F18:F21)</f>
        <v>1</v>
      </c>
      <c r="G22" s="83">
        <f t="shared" ref="G22" si="5">SUM(G18:G21)</f>
        <v>1</v>
      </c>
      <c r="H22" s="83">
        <f t="shared" ref="H22" si="6">SUM(H18:H21)</f>
        <v>1</v>
      </c>
      <c r="I22" s="83">
        <f t="shared" ref="I22" si="7">SUM(I18:I21)</f>
        <v>1</v>
      </c>
      <c r="J22" s="83">
        <f t="shared" ref="J22" si="8">SUM(J18:J21)</f>
        <v>1</v>
      </c>
      <c r="K22" s="83">
        <f t="shared" ref="K22" si="9">SUM(K18:K21)</f>
        <v>1</v>
      </c>
      <c r="L22" s="83">
        <f t="shared" ref="L22" si="10">SUM(L18:L21)</f>
        <v>1</v>
      </c>
      <c r="M22" s="83">
        <f t="shared" ref="M22" si="11">SUM(M18:M21)</f>
        <v>1</v>
      </c>
      <c r="N22" s="83">
        <f t="shared" ref="N22" si="12">SUM(N18:N21)</f>
        <v>1</v>
      </c>
      <c r="O22" s="83">
        <f t="shared" ref="O22" si="13">SUM(O18:O21)</f>
        <v>1</v>
      </c>
    </row>
    <row r="23" spans="2:15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38"/>
      <c r="O23" s="14"/>
    </row>
    <row r="24" spans="2:15" ht="15.9">
      <c r="B24" s="68" t="s">
        <v>108</v>
      </c>
      <c r="C24" s="25" t="s">
        <v>38</v>
      </c>
      <c r="D24" s="25" t="s">
        <v>9</v>
      </c>
      <c r="E24" s="25" t="s">
        <v>39</v>
      </c>
      <c r="F24" s="25" t="s">
        <v>40</v>
      </c>
      <c r="G24" s="25" t="s">
        <v>41</v>
      </c>
      <c r="H24" s="25" t="s">
        <v>42</v>
      </c>
      <c r="I24" s="25" t="s">
        <v>43</v>
      </c>
      <c r="J24" s="25" t="s">
        <v>44</v>
      </c>
      <c r="K24" s="25" t="s">
        <v>45</v>
      </c>
      <c r="L24" s="25" t="s">
        <v>46</v>
      </c>
      <c r="M24" s="25" t="s">
        <v>47</v>
      </c>
      <c r="N24" s="25" t="s">
        <v>48</v>
      </c>
      <c r="O24" s="25" t="s">
        <v>49</v>
      </c>
    </row>
    <row r="25" spans="2:15">
      <c r="B25" s="3" t="s">
        <v>110</v>
      </c>
      <c r="C25" s="6"/>
      <c r="D25" s="6">
        <f t="shared" ref="D25:O25" si="14">MAX(0,+D11*(1-D18*0.5))</f>
        <v>1.125E-2</v>
      </c>
      <c r="E25" s="6">
        <f t="shared" si="14"/>
        <v>1.125E-2</v>
      </c>
      <c r="F25" s="6">
        <f t="shared" si="14"/>
        <v>1.125E-2</v>
      </c>
      <c r="G25" s="6">
        <f t="shared" si="14"/>
        <v>1.125E-2</v>
      </c>
      <c r="H25" s="6">
        <f t="shared" si="14"/>
        <v>1.125E-2</v>
      </c>
      <c r="I25" s="6">
        <f t="shared" si="14"/>
        <v>1.125E-2</v>
      </c>
      <c r="J25" s="6">
        <f t="shared" si="14"/>
        <v>1.125E-2</v>
      </c>
      <c r="K25" s="6">
        <f t="shared" si="14"/>
        <v>1.125E-2</v>
      </c>
      <c r="L25" s="6">
        <f t="shared" si="14"/>
        <v>1.125E-2</v>
      </c>
      <c r="M25" s="6">
        <f t="shared" si="14"/>
        <v>1.125E-2</v>
      </c>
      <c r="N25" s="6">
        <f t="shared" si="14"/>
        <v>1.125E-2</v>
      </c>
      <c r="O25" s="6">
        <f t="shared" si="14"/>
        <v>1.125E-2</v>
      </c>
    </row>
    <row r="26" spans="2:15">
      <c r="B26" s="3" t="s">
        <v>111</v>
      </c>
      <c r="C26" s="6"/>
      <c r="D26" s="6">
        <f t="shared" ref="D26:O26" si="15">MAX(0,+D12*(1-D19*0.5))</f>
        <v>4.4999999999999998E-2</v>
      </c>
      <c r="E26" s="6">
        <f t="shared" si="15"/>
        <v>4.4999999999999998E-2</v>
      </c>
      <c r="F26" s="6">
        <f t="shared" si="15"/>
        <v>4.4999999999999998E-2</v>
      </c>
      <c r="G26" s="6">
        <f t="shared" si="15"/>
        <v>4.4999999999999998E-2</v>
      </c>
      <c r="H26" s="6">
        <f t="shared" si="15"/>
        <v>4.4999999999999998E-2</v>
      </c>
      <c r="I26" s="6">
        <f t="shared" si="15"/>
        <v>4.4999999999999998E-2</v>
      </c>
      <c r="J26" s="6">
        <f t="shared" si="15"/>
        <v>4.4999999999999998E-2</v>
      </c>
      <c r="K26" s="6">
        <f t="shared" si="15"/>
        <v>4.4999999999999998E-2</v>
      </c>
      <c r="L26" s="6">
        <f t="shared" si="15"/>
        <v>4.4999999999999998E-2</v>
      </c>
      <c r="M26" s="6">
        <f t="shared" si="15"/>
        <v>4.4999999999999998E-2</v>
      </c>
      <c r="N26" s="6">
        <f t="shared" si="15"/>
        <v>4.4999999999999998E-2</v>
      </c>
      <c r="O26" s="6">
        <f t="shared" si="15"/>
        <v>4.4999999999999998E-2</v>
      </c>
    </row>
    <row r="27" spans="2:15">
      <c r="B27" s="3" t="s">
        <v>112</v>
      </c>
      <c r="C27" s="6"/>
      <c r="D27" s="6">
        <f t="shared" ref="D27:O27" si="16">MAX(0,+D13*(1-D20*0.5))</f>
        <v>0.08</v>
      </c>
      <c r="E27" s="6">
        <f t="shared" si="16"/>
        <v>0.08</v>
      </c>
      <c r="F27" s="6">
        <f t="shared" si="16"/>
        <v>0.08</v>
      </c>
      <c r="G27" s="6">
        <f t="shared" si="16"/>
        <v>0.08</v>
      </c>
      <c r="H27" s="6">
        <f t="shared" si="16"/>
        <v>0.08</v>
      </c>
      <c r="I27" s="6">
        <f t="shared" si="16"/>
        <v>0.08</v>
      </c>
      <c r="J27" s="6">
        <f t="shared" si="16"/>
        <v>0.08</v>
      </c>
      <c r="K27" s="6">
        <f t="shared" si="16"/>
        <v>0.08</v>
      </c>
      <c r="L27" s="6">
        <f t="shared" si="16"/>
        <v>0.08</v>
      </c>
      <c r="M27" s="6">
        <f t="shared" si="16"/>
        <v>0.08</v>
      </c>
      <c r="N27" s="6">
        <f t="shared" si="16"/>
        <v>0.08</v>
      </c>
      <c r="O27" s="6">
        <f t="shared" si="16"/>
        <v>0.08</v>
      </c>
    </row>
    <row r="28" spans="2:15">
      <c r="B28" s="3" t="s">
        <v>250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</row>
    <row r="29" spans="2:15">
      <c r="B29" s="1"/>
      <c r="C29" s="83"/>
      <c r="D29" s="83">
        <f>SUMPRODUCT(D25:D27,D39:D41)/SUM(D39:D41)</f>
        <v>5.739863449046588E-2</v>
      </c>
      <c r="E29" s="83">
        <f t="shared" ref="E29:O29" si="17">SUMPRODUCT(E25:E27,E39:E41)/SUM(E39:E41)</f>
        <v>5.6693340648575764E-2</v>
      </c>
      <c r="F29" s="83">
        <f t="shared" si="17"/>
        <v>5.5976769442622927E-2</v>
      </c>
      <c r="G29" s="83">
        <f t="shared" si="17"/>
        <v>5.5249514664733372E-2</v>
      </c>
      <c r="H29" s="83">
        <f t="shared" si="17"/>
        <v>5.451221684949184E-2</v>
      </c>
      <c r="I29" s="83">
        <f t="shared" si="17"/>
        <v>5.3765561504959959E-2</v>
      </c>
      <c r="J29" s="83">
        <f t="shared" si="17"/>
        <v>5.3010276920020721E-2</v>
      </c>
      <c r="K29" s="83">
        <f t="shared" si="17"/>
        <v>5.2247131555318065E-2</v>
      </c>
      <c r="L29" s="83">
        <f t="shared" si="17"/>
        <v>5.1476931031757364E-2</v>
      </c>
      <c r="M29" s="83">
        <f t="shared" si="17"/>
        <v>5.0700514737277623E-2</v>
      </c>
      <c r="N29" s="83">
        <f t="shared" si="17"/>
        <v>4.9918752079235094E-2</v>
      </c>
      <c r="O29" s="83">
        <f t="shared" si="17"/>
        <v>4.9132538416080493E-2</v>
      </c>
    </row>
    <row r="30" spans="2:1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38"/>
      <c r="O30" s="14"/>
    </row>
    <row r="31" spans="2:15" ht="15.9">
      <c r="B31" s="68" t="s">
        <v>252</v>
      </c>
      <c r="C31" s="25" t="s">
        <v>38</v>
      </c>
      <c r="D31" s="25" t="s">
        <v>9</v>
      </c>
      <c r="E31" s="25" t="s">
        <v>39</v>
      </c>
      <c r="F31" s="25" t="s">
        <v>40</v>
      </c>
      <c r="G31" s="25" t="s">
        <v>41</v>
      </c>
      <c r="H31" s="25" t="s">
        <v>42</v>
      </c>
      <c r="I31" s="25" t="s">
        <v>43</v>
      </c>
      <c r="J31" s="25" t="s">
        <v>44</v>
      </c>
      <c r="K31" s="25" t="s">
        <v>45</v>
      </c>
      <c r="L31" s="25" t="s">
        <v>46</v>
      </c>
      <c r="M31" s="25" t="s">
        <v>47</v>
      </c>
      <c r="N31" s="25" t="s">
        <v>48</v>
      </c>
      <c r="O31" s="25" t="s">
        <v>49</v>
      </c>
    </row>
    <row r="32" spans="2:15">
      <c r="B32" s="3" t="s">
        <v>110</v>
      </c>
      <c r="C32" s="38">
        <f>+C5</f>
        <v>552631.57894736843</v>
      </c>
      <c r="D32" s="38">
        <f>+C32*(1-D11)</f>
        <v>544342.10526315786</v>
      </c>
      <c r="E32" s="38">
        <f t="shared" ref="E32:O32" si="18">+D32*(1-E11)</f>
        <v>536176.97368421045</v>
      </c>
      <c r="F32" s="38">
        <f t="shared" si="18"/>
        <v>528134.3190789473</v>
      </c>
      <c r="G32" s="38">
        <f t="shared" si="18"/>
        <v>520212.30429276306</v>
      </c>
      <c r="H32" s="38">
        <f t="shared" si="18"/>
        <v>512409.11972837162</v>
      </c>
      <c r="I32" s="38">
        <f t="shared" si="18"/>
        <v>504722.98293244606</v>
      </c>
      <c r="J32" s="38">
        <f t="shared" si="18"/>
        <v>497152.13818845939</v>
      </c>
      <c r="K32" s="38">
        <f t="shared" si="18"/>
        <v>489694.85611563252</v>
      </c>
      <c r="L32" s="38">
        <f t="shared" si="18"/>
        <v>482349.43327389803</v>
      </c>
      <c r="M32" s="38">
        <f t="shared" si="18"/>
        <v>475114.19177478953</v>
      </c>
      <c r="N32" s="38">
        <f t="shared" si="18"/>
        <v>467987.47889816767</v>
      </c>
      <c r="O32" s="38">
        <f t="shared" si="18"/>
        <v>460967.66671469517</v>
      </c>
    </row>
    <row r="33" spans="2:16">
      <c r="B33" s="3" t="s">
        <v>111</v>
      </c>
      <c r="C33" s="38">
        <f t="shared" ref="C33:C34" si="19">+C6</f>
        <v>1105263.1578947369</v>
      </c>
      <c r="D33" s="38">
        <f t="shared" ref="D33:O33" si="20">+C33*(1-D12)</f>
        <v>1038947.3684210526</v>
      </c>
      <c r="E33" s="38">
        <f t="shared" si="20"/>
        <v>976610.52631578932</v>
      </c>
      <c r="F33" s="38">
        <f t="shared" si="20"/>
        <v>918013.8947368419</v>
      </c>
      <c r="G33" s="38">
        <f t="shared" si="20"/>
        <v>862933.06105263135</v>
      </c>
      <c r="H33" s="38">
        <f t="shared" si="20"/>
        <v>811157.07738947344</v>
      </c>
      <c r="I33" s="38">
        <f t="shared" si="20"/>
        <v>762487.65274610498</v>
      </c>
      <c r="J33" s="38">
        <f t="shared" si="20"/>
        <v>716738.39358133869</v>
      </c>
      <c r="K33" s="38">
        <f t="shared" si="20"/>
        <v>673734.08996645838</v>
      </c>
      <c r="L33" s="38">
        <f t="shared" si="20"/>
        <v>633310.0445684708</v>
      </c>
      <c r="M33" s="38">
        <f t="shared" si="20"/>
        <v>595311.44189436256</v>
      </c>
      <c r="N33" s="38">
        <f t="shared" si="20"/>
        <v>559592.75538070081</v>
      </c>
      <c r="O33" s="38">
        <f t="shared" si="20"/>
        <v>526017.19005785871</v>
      </c>
    </row>
    <row r="34" spans="2:16">
      <c r="B34" s="3" t="s">
        <v>112</v>
      </c>
      <c r="C34" s="38">
        <f t="shared" si="19"/>
        <v>1842105.2631578946</v>
      </c>
      <c r="D34" s="38">
        <f t="shared" ref="D34:O34" si="21">+C34*(1-D13)</f>
        <v>1694736.8421052631</v>
      </c>
      <c r="E34" s="38">
        <f t="shared" si="21"/>
        <v>1559157.8947368423</v>
      </c>
      <c r="F34" s="38">
        <f t="shared" si="21"/>
        <v>1434425.2631578948</v>
      </c>
      <c r="G34" s="38">
        <f t="shared" si="21"/>
        <v>1319671.2421052633</v>
      </c>
      <c r="H34" s="38">
        <f t="shared" si="21"/>
        <v>1214097.5427368423</v>
      </c>
      <c r="I34" s="38">
        <f t="shared" si="21"/>
        <v>1116969.7393178949</v>
      </c>
      <c r="J34" s="38">
        <f t="shared" si="21"/>
        <v>1027612.1601724634</v>
      </c>
      <c r="K34" s="38">
        <f t="shared" si="21"/>
        <v>945403.18735866633</v>
      </c>
      <c r="L34" s="38">
        <f t="shared" si="21"/>
        <v>869770.93236997304</v>
      </c>
      <c r="M34" s="38">
        <f t="shared" si="21"/>
        <v>800189.25778037519</v>
      </c>
      <c r="N34" s="38">
        <f t="shared" si="21"/>
        <v>736174.11715794518</v>
      </c>
      <c r="O34" s="38">
        <f t="shared" si="21"/>
        <v>677280.18778530962</v>
      </c>
    </row>
    <row r="35" spans="2:16">
      <c r="B35" s="3" t="s">
        <v>250</v>
      </c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92"/>
    </row>
    <row r="36" spans="2:16">
      <c r="B36" s="1"/>
      <c r="C36" s="42">
        <f>SUM(C32:C35)</f>
        <v>3500000</v>
      </c>
      <c r="D36" s="42">
        <f t="shared" ref="D36" si="22">SUM(D32:D35)</f>
        <v>3278026.3157894732</v>
      </c>
      <c r="E36" s="42">
        <f t="shared" ref="E36" si="23">SUM(E32:E35)</f>
        <v>3071945.3947368423</v>
      </c>
      <c r="F36" s="42">
        <f t="shared" ref="F36" si="24">SUM(F32:F35)</f>
        <v>2880573.476973684</v>
      </c>
      <c r="G36" s="42">
        <f t="shared" ref="G36" si="25">SUM(G32:G35)</f>
        <v>2702816.6074506575</v>
      </c>
      <c r="H36" s="42">
        <f t="shared" ref="H36" si="26">SUM(H32:H35)</f>
        <v>2537663.7398546874</v>
      </c>
      <c r="I36" s="42">
        <f t="shared" ref="I36" si="27">SUM(I32:I35)</f>
        <v>2384180.3749964461</v>
      </c>
      <c r="J36" s="42">
        <f t="shared" ref="J36" si="28">SUM(J32:J35)</f>
        <v>2241502.6919422615</v>
      </c>
      <c r="K36" s="42">
        <f t="shared" ref="K36" si="29">SUM(K32:K35)</f>
        <v>2108832.1334407572</v>
      </c>
      <c r="L36" s="42">
        <f t="shared" ref="L36" si="30">SUM(L32:L35)</f>
        <v>1985430.4102123419</v>
      </c>
      <c r="M36" s="42">
        <f t="shared" ref="M36" si="31">SUM(M32:M35)</f>
        <v>1870614.8914495273</v>
      </c>
      <c r="N36" s="42">
        <f t="shared" ref="N36" si="32">SUM(N32:N35)</f>
        <v>1763754.3514368136</v>
      </c>
      <c r="O36" s="42">
        <f t="shared" ref="O36" si="33">SUM(O32:O35)</f>
        <v>1664265.0445578634</v>
      </c>
    </row>
    <row r="37" spans="2:16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38"/>
      <c r="O37" s="14"/>
    </row>
    <row r="38" spans="2:16" ht="15.9">
      <c r="B38" s="68" t="s">
        <v>109</v>
      </c>
      <c r="C38" s="25" t="s">
        <v>38</v>
      </c>
      <c r="D38" s="25" t="s">
        <v>9</v>
      </c>
      <c r="E38" s="25" t="s">
        <v>39</v>
      </c>
      <c r="F38" s="25" t="s">
        <v>40</v>
      </c>
      <c r="G38" s="25" t="s">
        <v>41</v>
      </c>
      <c r="H38" s="25" t="s">
        <v>42</v>
      </c>
      <c r="I38" s="25" t="s">
        <v>43</v>
      </c>
      <c r="J38" s="25" t="s">
        <v>44</v>
      </c>
      <c r="K38" s="25" t="s">
        <v>45</v>
      </c>
      <c r="L38" s="25" t="s">
        <v>46</v>
      </c>
      <c r="M38" s="25" t="s">
        <v>47</v>
      </c>
      <c r="N38" s="25" t="s">
        <v>48</v>
      </c>
      <c r="O38" s="25" t="s">
        <v>49</v>
      </c>
    </row>
    <row r="39" spans="2:16">
      <c r="B39" s="3" t="s">
        <v>110</v>
      </c>
      <c r="C39" s="38">
        <f>+C5</f>
        <v>552631.57894736843</v>
      </c>
      <c r="D39" s="38">
        <f>+C39*(1-D25)</f>
        <v>546414.47368421056</v>
      </c>
      <c r="E39" s="38">
        <f t="shared" ref="E39:O39" si="34">+D39*(1-E25)</f>
        <v>540267.31085526326</v>
      </c>
      <c r="F39" s="38">
        <f t="shared" si="34"/>
        <v>534189.30360814161</v>
      </c>
      <c r="G39" s="38">
        <f t="shared" si="34"/>
        <v>528179.67394254997</v>
      </c>
      <c r="H39" s="38">
        <f t="shared" si="34"/>
        <v>522237.65261069627</v>
      </c>
      <c r="I39" s="38">
        <f t="shared" si="34"/>
        <v>516362.47901882592</v>
      </c>
      <c r="J39" s="38">
        <f t="shared" si="34"/>
        <v>510553.40112986416</v>
      </c>
      <c r="K39" s="38">
        <f t="shared" si="34"/>
        <v>504809.67536715319</v>
      </c>
      <c r="L39" s="38">
        <f t="shared" si="34"/>
        <v>499130.56651927275</v>
      </c>
      <c r="M39" s="38">
        <f t="shared" si="34"/>
        <v>493515.34764593095</v>
      </c>
      <c r="N39" s="38">
        <f t="shared" si="34"/>
        <v>487963.29998491425</v>
      </c>
      <c r="O39" s="38">
        <f t="shared" si="34"/>
        <v>482473.71286008396</v>
      </c>
      <c r="P39" s="94">
        <f>+O39/C39-1</f>
        <v>-0.12695232911032428</v>
      </c>
    </row>
    <row r="40" spans="2:16">
      <c r="B40" s="3" t="s">
        <v>111</v>
      </c>
      <c r="C40" s="38">
        <f t="shared" ref="C40:C41" si="35">+C6</f>
        <v>1105263.1578947369</v>
      </c>
      <c r="D40" s="38">
        <f>+C40*(1-D26)</f>
        <v>1055526.3157894737</v>
      </c>
      <c r="E40" s="38">
        <f t="shared" ref="E40:O40" si="36">+D40*(1-E26)</f>
        <v>1008027.6315789473</v>
      </c>
      <c r="F40" s="38">
        <f t="shared" si="36"/>
        <v>962666.3881578946</v>
      </c>
      <c r="G40" s="38">
        <f t="shared" si="36"/>
        <v>919346.40069078933</v>
      </c>
      <c r="H40" s="38">
        <f t="shared" si="36"/>
        <v>877975.81265970378</v>
      </c>
      <c r="I40" s="38">
        <f t="shared" si="36"/>
        <v>838466.90109001705</v>
      </c>
      <c r="J40" s="38">
        <f t="shared" si="36"/>
        <v>800735.8905409663</v>
      </c>
      <c r="K40" s="38">
        <f t="shared" si="36"/>
        <v>764702.77546662278</v>
      </c>
      <c r="L40" s="38">
        <f t="shared" si="36"/>
        <v>730291.15057062474</v>
      </c>
      <c r="M40" s="38">
        <f t="shared" si="36"/>
        <v>697428.04879494663</v>
      </c>
      <c r="N40" s="38">
        <f t="shared" si="36"/>
        <v>666043.78659917403</v>
      </c>
      <c r="O40" s="38">
        <f t="shared" si="36"/>
        <v>636071.81620221119</v>
      </c>
      <c r="P40" s="94">
        <f t="shared" ref="P40:P41" si="37">+O40/C40-1</f>
        <v>-0.42450645200752324</v>
      </c>
    </row>
    <row r="41" spans="2:16">
      <c r="B41" s="3" t="s">
        <v>112</v>
      </c>
      <c r="C41" s="38">
        <f t="shared" si="35"/>
        <v>1842105.2631578946</v>
      </c>
      <c r="D41" s="38">
        <f>+C41*(1-D27)</f>
        <v>1694736.8421052631</v>
      </c>
      <c r="E41" s="38">
        <f t="shared" ref="E41:O41" si="38">+D41*(1-E27)</f>
        <v>1559157.8947368423</v>
      </c>
      <c r="F41" s="38">
        <f t="shared" si="38"/>
        <v>1434425.2631578948</v>
      </c>
      <c r="G41" s="38">
        <f t="shared" si="38"/>
        <v>1319671.2421052633</v>
      </c>
      <c r="H41" s="38">
        <f t="shared" si="38"/>
        <v>1214097.5427368423</v>
      </c>
      <c r="I41" s="38">
        <f t="shared" si="38"/>
        <v>1116969.7393178949</v>
      </c>
      <c r="J41" s="38">
        <f t="shared" si="38"/>
        <v>1027612.1601724634</v>
      </c>
      <c r="K41" s="38">
        <f t="shared" si="38"/>
        <v>945403.18735866633</v>
      </c>
      <c r="L41" s="38">
        <f t="shared" si="38"/>
        <v>869770.93236997304</v>
      </c>
      <c r="M41" s="38">
        <f t="shared" si="38"/>
        <v>800189.25778037519</v>
      </c>
      <c r="N41" s="38">
        <f t="shared" si="38"/>
        <v>736174.11715794518</v>
      </c>
      <c r="O41" s="38">
        <f t="shared" si="38"/>
        <v>677280.18778530962</v>
      </c>
      <c r="P41" s="94">
        <f t="shared" si="37"/>
        <v>-0.63233361234511754</v>
      </c>
    </row>
    <row r="42" spans="2:16">
      <c r="B42" s="3" t="s">
        <v>250</v>
      </c>
      <c r="C42" s="38"/>
      <c r="D42" s="7">
        <v>50000</v>
      </c>
      <c r="E42" s="7">
        <v>50000</v>
      </c>
      <c r="F42" s="7">
        <v>50000</v>
      </c>
      <c r="G42" s="7">
        <v>50000</v>
      </c>
      <c r="H42" s="7">
        <v>50000</v>
      </c>
      <c r="I42" s="7">
        <v>50000</v>
      </c>
      <c r="J42" s="7">
        <v>50000</v>
      </c>
      <c r="K42" s="7">
        <v>50000</v>
      </c>
      <c r="L42" s="7">
        <v>50000</v>
      </c>
      <c r="M42" s="7">
        <v>50000</v>
      </c>
      <c r="N42" s="7">
        <v>50000</v>
      </c>
      <c r="O42" s="7">
        <v>50000</v>
      </c>
    </row>
    <row r="43" spans="2:16">
      <c r="B43" s="1" t="s">
        <v>74</v>
      </c>
      <c r="C43" s="42">
        <f>SUM(C39:C42)</f>
        <v>3500000</v>
      </c>
      <c r="D43" s="42">
        <f t="shared" ref="D43:O43" si="39">SUM(D39:D42)</f>
        <v>3346677.6315789474</v>
      </c>
      <c r="E43" s="42">
        <f t="shared" si="39"/>
        <v>3157452.8371710526</v>
      </c>
      <c r="F43" s="42">
        <f t="shared" si="39"/>
        <v>2981280.954923931</v>
      </c>
      <c r="G43" s="42">
        <f t="shared" si="39"/>
        <v>2817197.3167386027</v>
      </c>
      <c r="H43" s="42">
        <f t="shared" si="39"/>
        <v>2664311.0080072423</v>
      </c>
      <c r="I43" s="42">
        <f t="shared" si="39"/>
        <v>2521799.119426738</v>
      </c>
      <c r="J43" s="42">
        <f t="shared" si="39"/>
        <v>2388901.4518432938</v>
      </c>
      <c r="K43" s="42">
        <f t="shared" si="39"/>
        <v>2264915.6381924422</v>
      </c>
      <c r="L43" s="42">
        <f t="shared" si="39"/>
        <v>2149192.6494598705</v>
      </c>
      <c r="M43" s="42">
        <f t="shared" si="39"/>
        <v>2041132.6542212528</v>
      </c>
      <c r="N43" s="42">
        <f t="shared" si="39"/>
        <v>1940181.2037420336</v>
      </c>
      <c r="O43" s="42">
        <f t="shared" si="39"/>
        <v>1845825.7168476046</v>
      </c>
    </row>
    <row r="44" spans="2:16">
      <c r="D44" s="38"/>
      <c r="E44" s="1"/>
      <c r="F44" s="1"/>
      <c r="G44" s="1"/>
      <c r="H44" s="1"/>
      <c r="I44" s="1"/>
      <c r="J44" s="1"/>
      <c r="K44" s="1"/>
      <c r="L44" s="1"/>
      <c r="M44" s="1"/>
      <c r="N44" s="38"/>
      <c r="O44" s="14"/>
    </row>
    <row r="45" spans="2:16" ht="15.9">
      <c r="B45" s="68" t="s">
        <v>254</v>
      </c>
      <c r="C45" s="93" t="s">
        <v>38</v>
      </c>
      <c r="D45" s="25" t="s">
        <v>9</v>
      </c>
      <c r="E45" s="25" t="s">
        <v>39</v>
      </c>
      <c r="F45" s="25" t="s">
        <v>40</v>
      </c>
      <c r="G45" s="25" t="s">
        <v>41</v>
      </c>
      <c r="H45" s="25" t="s">
        <v>42</v>
      </c>
      <c r="I45" s="25" t="s">
        <v>43</v>
      </c>
      <c r="J45" s="25" t="s">
        <v>44</v>
      </c>
      <c r="K45" s="25" t="s">
        <v>45</v>
      </c>
      <c r="L45" s="25" t="s">
        <v>46</v>
      </c>
      <c r="M45" s="25" t="s">
        <v>47</v>
      </c>
      <c r="N45" s="25" t="s">
        <v>48</v>
      </c>
      <c r="O45" s="25" t="s">
        <v>49</v>
      </c>
      <c r="P45" s="25" t="s">
        <v>136</v>
      </c>
    </row>
    <row r="46" spans="2:16">
      <c r="B46" s="3" t="s">
        <v>110</v>
      </c>
      <c r="C46" s="38"/>
      <c r="D46" s="38">
        <f>+((D39-C39)*$F5)/1000000+C46</f>
        <v>-198.41269736842005</v>
      </c>
      <c r="E46" s="38">
        <f t="shared" ref="E46:O46" si="40">+((E39-D39)*$F5)/1000000+D46</f>
        <v>-394.5932518914442</v>
      </c>
      <c r="F46" s="38">
        <f t="shared" si="40"/>
        <v>-588.56677517608478</v>
      </c>
      <c r="G46" s="38">
        <f t="shared" si="40"/>
        <v>-780.35809632377629</v>
      </c>
      <c r="H46" s="38">
        <f t="shared" si="40"/>
        <v>-969.99176510855523</v>
      </c>
      <c r="I46" s="38">
        <f t="shared" si="40"/>
        <v>-1157.4920551195055</v>
      </c>
      <c r="J46" s="38">
        <f t="shared" si="40"/>
        <v>-1342.8829668678313</v>
      </c>
      <c r="K46" s="38">
        <f t="shared" si="40"/>
        <v>-1526.1882308589891</v>
      </c>
      <c r="L46" s="38">
        <f t="shared" si="40"/>
        <v>-1707.4313106302457</v>
      </c>
      <c r="M46" s="38">
        <f t="shared" si="40"/>
        <v>-1886.6354057540759</v>
      </c>
      <c r="N46" s="38">
        <f t="shared" si="40"/>
        <v>-2063.8234548077626</v>
      </c>
      <c r="O46" s="38">
        <f t="shared" si="40"/>
        <v>-2239.0181383095965</v>
      </c>
      <c r="P46" s="73">
        <f>SUM(D46:O46)</f>
        <v>-14855.394148216286</v>
      </c>
    </row>
    <row r="47" spans="2:16">
      <c r="B47" s="3" t="s">
        <v>111</v>
      </c>
      <c r="C47" s="38"/>
      <c r="D47" s="38">
        <f t="shared" ref="D47:O47" si="41">+((D40-C40)*$F6)/1000000+C47</f>
        <v>-399.99999789473679</v>
      </c>
      <c r="E47" s="38">
        <f t="shared" si="41"/>
        <v>-781.99999588421122</v>
      </c>
      <c r="F47" s="38">
        <f t="shared" si="41"/>
        <v>-1146.8099939641593</v>
      </c>
      <c r="G47" s="38">
        <f t="shared" si="41"/>
        <v>-1495.203542130509</v>
      </c>
      <c r="H47" s="38">
        <f t="shared" si="41"/>
        <v>-1827.9193806293733</v>
      </c>
      <c r="I47" s="38">
        <f t="shared" si="41"/>
        <v>-2145.6630063957887</v>
      </c>
      <c r="J47" s="38">
        <f t="shared" si="41"/>
        <v>-2449.1081690027149</v>
      </c>
      <c r="K47" s="38">
        <f t="shared" si="41"/>
        <v>-2738.8982992923297</v>
      </c>
      <c r="L47" s="38">
        <f t="shared" si="41"/>
        <v>-3015.6478737189118</v>
      </c>
      <c r="M47" s="38">
        <f t="shared" si="41"/>
        <v>-3279.9437172962976</v>
      </c>
      <c r="N47" s="38">
        <f t="shared" si="41"/>
        <v>-3532.3462479127011</v>
      </c>
      <c r="O47" s="38">
        <f t="shared" si="41"/>
        <v>-3773.3906646513665</v>
      </c>
      <c r="P47" s="73">
        <f t="shared" ref="P47:P49" si="42">SUM(D47:O47)</f>
        <v>-26586.930888773102</v>
      </c>
    </row>
    <row r="48" spans="2:16">
      <c r="B48" s="3" t="s">
        <v>112</v>
      </c>
      <c r="C48" s="38"/>
      <c r="D48" s="38">
        <f t="shared" ref="D48:O48" si="43">+((D41-C41)*$F7)/1000000+C48</f>
        <v>-282.18694736842076</v>
      </c>
      <c r="E48" s="38">
        <f t="shared" si="43"/>
        <v>-541.79893894736779</v>
      </c>
      <c r="F48" s="38">
        <f t="shared" si="43"/>
        <v>-780.64197119999949</v>
      </c>
      <c r="G48" s="38">
        <f t="shared" si="43"/>
        <v>-1000.3775608724204</v>
      </c>
      <c r="H48" s="38">
        <f t="shared" si="43"/>
        <v>-1202.5343033710476</v>
      </c>
      <c r="I48" s="38">
        <f t="shared" si="43"/>
        <v>-1388.5185064697848</v>
      </c>
      <c r="J48" s="38">
        <f t="shared" si="43"/>
        <v>-1559.623973320623</v>
      </c>
      <c r="K48" s="38">
        <f t="shared" si="43"/>
        <v>-1717.0410028233941</v>
      </c>
      <c r="L48" s="38">
        <f t="shared" si="43"/>
        <v>-1861.8646699659434</v>
      </c>
      <c r="M48" s="38">
        <f t="shared" si="43"/>
        <v>-1995.1024437370891</v>
      </c>
      <c r="N48" s="38">
        <f t="shared" si="43"/>
        <v>-2117.681195606543</v>
      </c>
      <c r="O48" s="38">
        <f t="shared" si="43"/>
        <v>-2230.4536473264407</v>
      </c>
      <c r="P48" s="73">
        <f t="shared" si="42"/>
        <v>-16677.825161009074</v>
      </c>
    </row>
    <row r="49" spans="1:16" ht="14.6" thickBot="1">
      <c r="B49" s="103" t="s">
        <v>250</v>
      </c>
      <c r="C49" s="38"/>
      <c r="D49" s="38">
        <f>+D42*$F$8/1000000</f>
        <v>429.32728421052633</v>
      </c>
      <c r="E49" s="38">
        <f>+E42*$F$8/1000000+D49</f>
        <v>858.65456842105266</v>
      </c>
      <c r="F49" s="38">
        <f t="shared" ref="F49:O49" si="44">+F42*$F$8/1000000+E49</f>
        <v>1287.9818526315789</v>
      </c>
      <c r="G49" s="38">
        <f t="shared" si="44"/>
        <v>1717.3091368421053</v>
      </c>
      <c r="H49" s="38">
        <f t="shared" si="44"/>
        <v>2146.6364210526317</v>
      </c>
      <c r="I49" s="38">
        <f t="shared" si="44"/>
        <v>2575.9637052631579</v>
      </c>
      <c r="J49" s="38">
        <f t="shared" si="44"/>
        <v>3005.290989473684</v>
      </c>
      <c r="K49" s="38">
        <f t="shared" si="44"/>
        <v>3434.6182736842102</v>
      </c>
      <c r="L49" s="38">
        <f t="shared" si="44"/>
        <v>3863.9455578947363</v>
      </c>
      <c r="M49" s="38">
        <f t="shared" si="44"/>
        <v>4293.2728421052625</v>
      </c>
      <c r="N49" s="38">
        <f t="shared" si="44"/>
        <v>4722.6001263157887</v>
      </c>
      <c r="O49" s="38">
        <f t="shared" si="44"/>
        <v>5151.9274105263148</v>
      </c>
      <c r="P49" s="73">
        <f t="shared" si="42"/>
        <v>33487.528168421049</v>
      </c>
    </row>
    <row r="50" spans="1:16" ht="14.6" thickBot="1">
      <c r="B50" s="104" t="s">
        <v>74</v>
      </c>
      <c r="C50" s="105"/>
      <c r="D50" s="105">
        <f t="shared" ref="D50" si="45">SUM(D46:D49)</f>
        <v>-451.27235842105125</v>
      </c>
      <c r="E50" s="105">
        <f t="shared" ref="E50" si="46">SUM(E46:E49)</f>
        <v>-859.73761830197066</v>
      </c>
      <c r="F50" s="105">
        <f t="shared" ref="F50" si="47">SUM(F46:F49)</f>
        <v>-1228.0368877086644</v>
      </c>
      <c r="G50" s="105">
        <f t="shared" ref="G50" si="48">SUM(G46:G49)</f>
        <v>-1558.6300624846006</v>
      </c>
      <c r="H50" s="105">
        <f t="shared" ref="H50" si="49">SUM(H46:H49)</f>
        <v>-1853.8090280563447</v>
      </c>
      <c r="I50" s="105">
        <f t="shared" ref="I50" si="50">SUM(I46:I49)</f>
        <v>-2115.7098627219211</v>
      </c>
      <c r="J50" s="105">
        <f t="shared" ref="J50" si="51">SUM(J46:J49)</f>
        <v>-2346.3241197174848</v>
      </c>
      <c r="K50" s="105">
        <f t="shared" ref="K50" si="52">SUM(K46:K49)</f>
        <v>-2547.509259290503</v>
      </c>
      <c r="L50" s="105">
        <f t="shared" ref="L50" si="53">SUM(L46:L49)</f>
        <v>-2720.9982964203646</v>
      </c>
      <c r="M50" s="105">
        <f t="shared" ref="M50" si="54">SUM(M46:M49)</f>
        <v>-2868.4087246822</v>
      </c>
      <c r="N50" s="105">
        <f t="shared" ref="N50" si="55">SUM(N46:N49)</f>
        <v>-2991.250772011218</v>
      </c>
      <c r="O50" s="105">
        <f t="shared" ref="O50:P50" si="56">SUM(O46:O49)</f>
        <v>-3090.9350397610897</v>
      </c>
      <c r="P50" s="106">
        <f t="shared" si="56"/>
        <v>-24632.622029577411</v>
      </c>
    </row>
    <row r="51" spans="1:16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38"/>
      <c r="O51" s="14"/>
      <c r="P51" s="46"/>
    </row>
    <row r="52" spans="1:16" ht="15.9">
      <c r="B52" s="45" t="s">
        <v>255</v>
      </c>
      <c r="C52" s="93" t="s">
        <v>256</v>
      </c>
      <c r="D52" s="25" t="s">
        <v>9</v>
      </c>
      <c r="E52" s="25" t="s">
        <v>39</v>
      </c>
      <c r="F52" s="25" t="s">
        <v>40</v>
      </c>
      <c r="G52" s="25" t="s">
        <v>41</v>
      </c>
      <c r="H52" s="25" t="s">
        <v>42</v>
      </c>
      <c r="I52" s="25" t="s">
        <v>43</v>
      </c>
      <c r="J52" s="25" t="s">
        <v>44</v>
      </c>
      <c r="K52" s="25" t="s">
        <v>45</v>
      </c>
      <c r="L52" s="25" t="s">
        <v>46</v>
      </c>
      <c r="M52" s="25" t="s">
        <v>47</v>
      </c>
      <c r="N52" s="25" t="s">
        <v>48</v>
      </c>
      <c r="O52" s="25" t="s">
        <v>49</v>
      </c>
      <c r="P52" s="25" t="s">
        <v>136</v>
      </c>
    </row>
    <row r="53" spans="1:16">
      <c r="A53" s="95">
        <f>C53/F5</f>
        <v>0.10966973741931441</v>
      </c>
      <c r="B53" s="3" t="s">
        <v>110</v>
      </c>
      <c r="C53" s="96">
        <v>3500</v>
      </c>
      <c r="D53" s="38">
        <f>+((D39-D32)*$C53)/1000000</f>
        <v>7.2532894736844469</v>
      </c>
      <c r="E53" s="38">
        <f t="shared" ref="E53:O53" si="57">+((E39-E32)*$C53)/1000000</f>
        <v>14.316180098684855</v>
      </c>
      <c r="F53" s="38">
        <f t="shared" si="57"/>
        <v>21.192445852180072</v>
      </c>
      <c r="G53" s="38">
        <f t="shared" si="57"/>
        <v>27.885793774254186</v>
      </c>
      <c r="H53" s="38">
        <f t="shared" si="57"/>
        <v>34.399865088136288</v>
      </c>
      <c r="I53" s="38">
        <f t="shared" si="57"/>
        <v>40.738236302329518</v>
      </c>
      <c r="J53" s="38">
        <f t="shared" si="57"/>
        <v>46.904420294916697</v>
      </c>
      <c r="K53" s="38">
        <f t="shared" si="57"/>
        <v>52.901867380322365</v>
      </c>
      <c r="L53" s="38">
        <f t="shared" si="57"/>
        <v>58.733966358811507</v>
      </c>
      <c r="M53" s="38">
        <f t="shared" si="57"/>
        <v>64.40404554899493</v>
      </c>
      <c r="N53" s="38">
        <f t="shared" si="57"/>
        <v>69.915373803613036</v>
      </c>
      <c r="O53" s="38">
        <f t="shared" si="57"/>
        <v>75.2711615088608</v>
      </c>
      <c r="P53" s="73">
        <f>SUM(D53:O53)</f>
        <v>513.91664548478866</v>
      </c>
    </row>
    <row r="54" spans="1:16">
      <c r="A54" s="95">
        <f>C54/F6</f>
        <v>0.24868421183518005</v>
      </c>
      <c r="B54" s="3" t="s">
        <v>111</v>
      </c>
      <c r="C54" s="96">
        <v>2000</v>
      </c>
      <c r="D54" s="38">
        <f t="shared" ref="D54:O54" si="58">+((D40-D33)*$C54)/1000000</f>
        <v>33.157894736842252</v>
      </c>
      <c r="E54" s="38">
        <f t="shared" si="58"/>
        <v>62.834210526315957</v>
      </c>
      <c r="F54" s="38">
        <f t="shared" si="58"/>
        <v>89.304986842105407</v>
      </c>
      <c r="G54" s="38">
        <f t="shared" si="58"/>
        <v>112.82667927631596</v>
      </c>
      <c r="H54" s="38">
        <f t="shared" si="58"/>
        <v>133.63747054046067</v>
      </c>
      <c r="I54" s="38">
        <f t="shared" si="58"/>
        <v>151.95849668782412</v>
      </c>
      <c r="J54" s="38">
        <f t="shared" si="58"/>
        <v>167.99499391925519</v>
      </c>
      <c r="K54" s="38">
        <f t="shared" si="58"/>
        <v>181.9373710003288</v>
      </c>
      <c r="L54" s="38">
        <f t="shared" si="58"/>
        <v>193.9622120043079</v>
      </c>
      <c r="M54" s="38">
        <f t="shared" si="58"/>
        <v>204.23321380116815</v>
      </c>
      <c r="N54" s="38">
        <f t="shared" si="58"/>
        <v>212.90206243694641</v>
      </c>
      <c r="O54" s="38">
        <f t="shared" si="58"/>
        <v>220.10925228870497</v>
      </c>
      <c r="P54" s="73">
        <f t="shared" ref="P54:P56" si="59">SUM(D54:O54)</f>
        <v>1764.8588440605756</v>
      </c>
    </row>
    <row r="55" spans="1:16">
      <c r="A55" s="95">
        <f>C55/F7</f>
        <v>0.52223684485387811</v>
      </c>
      <c r="B55" s="3" t="s">
        <v>112</v>
      </c>
      <c r="C55" s="96">
        <v>1000</v>
      </c>
      <c r="D55" s="38">
        <f t="shared" ref="D55:O55" si="60">+((D41-D34)*$C55)/1000000</f>
        <v>0</v>
      </c>
      <c r="E55" s="38">
        <f t="shared" si="60"/>
        <v>0</v>
      </c>
      <c r="F55" s="38">
        <f t="shared" si="60"/>
        <v>0</v>
      </c>
      <c r="G55" s="38">
        <f t="shared" si="60"/>
        <v>0</v>
      </c>
      <c r="H55" s="38">
        <f t="shared" si="60"/>
        <v>0</v>
      </c>
      <c r="I55" s="38">
        <f t="shared" si="60"/>
        <v>0</v>
      </c>
      <c r="J55" s="38">
        <f t="shared" si="60"/>
        <v>0</v>
      </c>
      <c r="K55" s="38">
        <f t="shared" si="60"/>
        <v>0</v>
      </c>
      <c r="L55" s="38">
        <f t="shared" si="60"/>
        <v>0</v>
      </c>
      <c r="M55" s="38">
        <f t="shared" si="60"/>
        <v>0</v>
      </c>
      <c r="N55" s="38">
        <f t="shared" si="60"/>
        <v>0</v>
      </c>
      <c r="O55" s="38">
        <f t="shared" si="60"/>
        <v>0</v>
      </c>
      <c r="P55" s="73">
        <f t="shared" si="59"/>
        <v>0</v>
      </c>
    </row>
    <row r="56" spans="1:16" ht="14.6" thickBot="1">
      <c r="A56" s="95">
        <f>C56/F8</f>
        <v>0.52407570698364525</v>
      </c>
      <c r="B56" s="3" t="s">
        <v>258</v>
      </c>
      <c r="C56" s="96">
        <v>4500</v>
      </c>
      <c r="D56" s="38">
        <f>+($C$56*D42)/1000000</f>
        <v>225</v>
      </c>
      <c r="E56" s="38">
        <f t="shared" ref="E56:O56" si="61">+($C$56*E42)/1000000</f>
        <v>225</v>
      </c>
      <c r="F56" s="38">
        <f t="shared" si="61"/>
        <v>225</v>
      </c>
      <c r="G56" s="38">
        <f t="shared" si="61"/>
        <v>225</v>
      </c>
      <c r="H56" s="38">
        <f t="shared" si="61"/>
        <v>225</v>
      </c>
      <c r="I56" s="38">
        <f t="shared" si="61"/>
        <v>225</v>
      </c>
      <c r="J56" s="38">
        <f t="shared" si="61"/>
        <v>225</v>
      </c>
      <c r="K56" s="38">
        <f t="shared" si="61"/>
        <v>225</v>
      </c>
      <c r="L56" s="38">
        <f t="shared" si="61"/>
        <v>225</v>
      </c>
      <c r="M56" s="38">
        <f t="shared" si="61"/>
        <v>225</v>
      </c>
      <c r="N56" s="38">
        <f t="shared" si="61"/>
        <v>225</v>
      </c>
      <c r="O56" s="38">
        <f t="shared" si="61"/>
        <v>225</v>
      </c>
      <c r="P56" s="73">
        <f t="shared" si="59"/>
        <v>2700</v>
      </c>
    </row>
    <row r="57" spans="1:16" ht="14.6" thickBot="1">
      <c r="B57" s="104" t="s">
        <v>74</v>
      </c>
      <c r="C57" s="105"/>
      <c r="D57" s="105">
        <f t="shared" ref="D57" si="62">SUM(D53:D56)</f>
        <v>265.4111842105267</v>
      </c>
      <c r="E57" s="105">
        <f t="shared" ref="E57" si="63">SUM(E53:E56)</f>
        <v>302.1503906250008</v>
      </c>
      <c r="F57" s="105">
        <f t="shared" ref="F57" si="64">SUM(F53:F56)</f>
        <v>335.49743269428546</v>
      </c>
      <c r="G57" s="105">
        <f t="shared" ref="G57" si="65">SUM(G53:G56)</f>
        <v>365.71247305057011</v>
      </c>
      <c r="H57" s="105">
        <f t="shared" ref="H57" si="66">SUM(H53:H56)</f>
        <v>393.03733562859696</v>
      </c>
      <c r="I57" s="105">
        <f t="shared" ref="I57" si="67">SUM(I53:I56)</f>
        <v>417.69673299015363</v>
      </c>
      <c r="J57" s="105">
        <f t="shared" ref="J57" si="68">SUM(J53:J56)</f>
        <v>439.89941421417188</v>
      </c>
      <c r="K57" s="105">
        <f t="shared" ref="K57" si="69">SUM(K53:K56)</f>
        <v>459.83923838065118</v>
      </c>
      <c r="L57" s="105">
        <f t="shared" ref="L57" si="70">SUM(L53:L56)</f>
        <v>477.69617836311943</v>
      </c>
      <c r="M57" s="105">
        <f t="shared" ref="M57" si="71">SUM(M53:M56)</f>
        <v>493.63725935016305</v>
      </c>
      <c r="N57" s="105">
        <f t="shared" ref="N57" si="72">SUM(N53:N56)</f>
        <v>507.81743624055946</v>
      </c>
      <c r="O57" s="105">
        <f t="shared" ref="O57:P57" si="73">SUM(O53:O56)</f>
        <v>520.38041379756578</v>
      </c>
      <c r="P57" s="106">
        <f t="shared" si="73"/>
        <v>4978.7754895453645</v>
      </c>
    </row>
    <row r="58" spans="1:16" s="47" customFormat="1">
      <c r="B58" s="97" t="s">
        <v>257</v>
      </c>
      <c r="C58" s="45"/>
      <c r="D58" s="46">
        <f>+D57/'01_Master_Variables'!D6</f>
        <v>9.0372852032501397E-3</v>
      </c>
      <c r="E58" s="46">
        <f>+E57/'01_Master_Variables'!E6</f>
        <v>1.0433370333345925E-2</v>
      </c>
      <c r="F58" s="46">
        <f>+F57/'01_Master_Variables'!F6</f>
        <v>1.15141058305312E-2</v>
      </c>
      <c r="G58" s="46">
        <f>+G57/'01_Master_Variables'!G6</f>
        <v>1.2800641018009184E-2</v>
      </c>
      <c r="H58" s="46">
        <f>+H57/'01_Master_Variables'!H6</f>
        <v>1.4018434611078568E-2</v>
      </c>
      <c r="I58" s="46">
        <f>+I57/'01_Master_Variables'!I6</f>
        <v>1.4885695606050332E-2</v>
      </c>
      <c r="J58" s="46">
        <f>+J57/'01_Master_Variables'!J6</f>
        <v>1.5567713845976052E-2</v>
      </c>
      <c r="K58" s="46">
        <f>+K57/'01_Master_Variables'!K6</f>
        <v>1.6225242992075679E-2</v>
      </c>
      <c r="L58" s="46">
        <f>+L57/'01_Master_Variables'!L6</f>
        <v>1.6959133135105175E-2</v>
      </c>
      <c r="M58" s="46">
        <f>+M57/'01_Master_Variables'!M6</f>
        <v>1.6900999709600677E-2</v>
      </c>
      <c r="N58" s="46">
        <f>+N57/'01_Master_Variables'!N6</f>
        <v>1.7459929678429152E-2</v>
      </c>
      <c r="O58" s="46">
        <f>+O57/'01_Master_Variables'!O6</f>
        <v>1.7635499808504599E-2</v>
      </c>
      <c r="P58" s="46">
        <f>+P57/'01_Master_Variables'!P6</f>
        <v>1.4443826099442621E-2</v>
      </c>
    </row>
    <row r="59" spans="1:16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38"/>
      <c r="O59" s="14"/>
    </row>
    <row r="60" spans="1:16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38"/>
      <c r="O60" s="14"/>
    </row>
    <row r="61" spans="1:16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38"/>
      <c r="O61" s="14"/>
    </row>
    <row r="62" spans="1:16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38"/>
      <c r="O62" s="14"/>
    </row>
    <row r="63" spans="1:16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38"/>
      <c r="O63" s="14"/>
    </row>
    <row r="64" spans="1:16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38"/>
      <c r="O64" s="14"/>
    </row>
    <row r="65" spans="2:1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38"/>
      <c r="O65" s="14"/>
    </row>
    <row r="66" spans="2:1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38"/>
      <c r="O66" s="14"/>
    </row>
    <row r="67" spans="2:1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38"/>
      <c r="O67" s="14"/>
    </row>
    <row r="68" spans="2:1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38"/>
      <c r="O68" s="14"/>
    </row>
    <row r="69" spans="2:1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38"/>
      <c r="O69" s="14"/>
    </row>
    <row r="70" spans="2:1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38"/>
      <c r="O70" s="14"/>
    </row>
    <row r="71" spans="2:1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38"/>
      <c r="O71" s="14"/>
    </row>
    <row r="72" spans="2:1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38"/>
      <c r="O72" s="14"/>
    </row>
    <row r="73" spans="2:1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38"/>
      <c r="O73" s="14"/>
    </row>
    <row r="74" spans="2:15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38"/>
      <c r="O74" s="14"/>
    </row>
    <row r="75" spans="2:1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38"/>
      <c r="O75" s="14"/>
    </row>
    <row r="76" spans="2:15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38"/>
      <c r="O76" s="14"/>
    </row>
    <row r="77" spans="2:15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38"/>
      <c r="O77" s="14"/>
    </row>
    <row r="78" spans="2:15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38"/>
      <c r="O78" s="14"/>
    </row>
    <row r="79" spans="2:15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38"/>
      <c r="O79" s="14"/>
    </row>
    <row r="80" spans="2:15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38"/>
      <c r="O80" s="14"/>
    </row>
    <row r="81" spans="2:1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38"/>
      <c r="O81" s="14"/>
    </row>
    <row r="82" spans="2:15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38"/>
      <c r="O82" s="14"/>
    </row>
    <row r="83" spans="2:15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38"/>
      <c r="O83" s="14"/>
    </row>
    <row r="84" spans="2:15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38"/>
      <c r="O84" s="14"/>
    </row>
    <row r="85" spans="2:1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38"/>
      <c r="O85" s="14"/>
    </row>
    <row r="86" spans="2:15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38"/>
      <c r="O86" s="14"/>
    </row>
    <row r="87" spans="2:15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38"/>
      <c r="O87" s="14"/>
    </row>
    <row r="88" spans="2:15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38"/>
      <c r="O88" s="14"/>
    </row>
    <row r="89" spans="2:15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38"/>
      <c r="O89" s="14"/>
    </row>
    <row r="90" spans="2:15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38"/>
      <c r="O90" s="14"/>
    </row>
    <row r="91" spans="2:15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38"/>
      <c r="O91" s="14"/>
    </row>
    <row r="92" spans="2:15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38"/>
      <c r="O92" s="14"/>
    </row>
    <row r="93" spans="2:1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38"/>
      <c r="O93" s="14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7" tint="-0.499984740745262"/>
  </sheetPr>
  <dimension ref="A2:S89"/>
  <sheetViews>
    <sheetView showGridLines="0" workbookViewId="0">
      <pane xSplit="3" ySplit="5" topLeftCell="D11" activePane="bottomRight" state="frozen"/>
      <selection pane="topRight" activeCell="D1" sqref="D1"/>
      <selection pane="bottomLeft" activeCell="A6" sqref="A6"/>
      <selection pane="bottomRight" activeCell="P23" sqref="P23"/>
    </sheetView>
  </sheetViews>
  <sheetFormatPr defaultRowHeight="14.15"/>
  <cols>
    <col min="1" max="1" width="5.5703125" customWidth="1"/>
    <col min="2" max="2" width="18" customWidth="1"/>
    <col min="3" max="3" width="4.140625" customWidth="1"/>
    <col min="4" max="12" width="9.2109375" customWidth="1"/>
    <col min="13" max="16" width="9.2109375" style="39" customWidth="1"/>
    <col min="18" max="19" width="9.140625" style="54"/>
  </cols>
  <sheetData>
    <row r="2" spans="1:19" ht="14.25" customHeight="1"/>
    <row r="3" spans="1:19" ht="18.45">
      <c r="B3" s="29" t="s">
        <v>263</v>
      </c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Q3" s="8"/>
    </row>
    <row r="4" spans="1:19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38"/>
      <c r="N4" s="38"/>
      <c r="Q4" s="1"/>
    </row>
    <row r="5" spans="1:19" s="24" customFormat="1" ht="38.6">
      <c r="B5" s="25" t="s">
        <v>113</v>
      </c>
      <c r="C5" s="25" t="s">
        <v>114</v>
      </c>
      <c r="D5" s="25" t="s">
        <v>261</v>
      </c>
      <c r="E5" s="25" t="s">
        <v>115</v>
      </c>
      <c r="F5" s="25" t="s">
        <v>116</v>
      </c>
      <c r="G5" s="25" t="s">
        <v>262</v>
      </c>
      <c r="H5" s="25" t="s">
        <v>118</v>
      </c>
      <c r="I5" s="25" t="s">
        <v>260</v>
      </c>
      <c r="J5" s="1"/>
      <c r="K5" s="1"/>
      <c r="O5" s="39"/>
      <c r="P5" s="39"/>
      <c r="Q5" s="1"/>
      <c r="R5" s="54"/>
      <c r="S5" s="54"/>
    </row>
    <row r="6" spans="1:19" ht="15" customHeight="1">
      <c r="A6" s="34"/>
      <c r="B6" s="3" t="s">
        <v>119</v>
      </c>
      <c r="C6" s="3" t="s">
        <v>120</v>
      </c>
      <c r="D6" s="55">
        <v>8</v>
      </c>
      <c r="E6" s="51">
        <f>+Q20</f>
        <v>3</v>
      </c>
      <c r="F6" s="51">
        <f>+Q48</f>
        <v>0</v>
      </c>
      <c r="G6" s="51">
        <f>SUM(D6:F6)</f>
        <v>11</v>
      </c>
      <c r="H6" s="55">
        <v>5833.3333333333339</v>
      </c>
      <c r="I6" s="55">
        <v>665</v>
      </c>
      <c r="J6" s="1"/>
      <c r="K6" s="1"/>
      <c r="Q6" s="1"/>
    </row>
    <row r="7" spans="1:19" ht="15" customHeight="1">
      <c r="A7" s="34"/>
      <c r="B7" s="3" t="s">
        <v>119</v>
      </c>
      <c r="C7" s="3" t="s">
        <v>121</v>
      </c>
      <c r="D7" s="55">
        <v>6</v>
      </c>
      <c r="E7" s="51">
        <f t="shared" ref="E7:E13" si="0">+Q21</f>
        <v>0</v>
      </c>
      <c r="F7" s="51">
        <f t="shared" ref="F7:F13" si="1">+Q49</f>
        <v>0</v>
      </c>
      <c r="G7" s="51">
        <f t="shared" ref="G7:G13" si="2">SUM(D7:F7)</f>
        <v>6</v>
      </c>
      <c r="H7" s="55">
        <v>10320.51282051282</v>
      </c>
      <c r="I7" s="55">
        <v>1092.5</v>
      </c>
      <c r="J7" s="1"/>
      <c r="K7" s="1"/>
      <c r="Q7" s="1"/>
    </row>
    <row r="8" spans="1:19" ht="15" customHeight="1">
      <c r="A8" s="34"/>
      <c r="B8" s="3" t="s">
        <v>122</v>
      </c>
      <c r="C8" s="3" t="s">
        <v>120</v>
      </c>
      <c r="D8" s="55">
        <v>20</v>
      </c>
      <c r="E8" s="51">
        <f t="shared" si="0"/>
        <v>0</v>
      </c>
      <c r="F8" s="51">
        <f t="shared" si="1"/>
        <v>0</v>
      </c>
      <c r="G8" s="51">
        <f t="shared" si="2"/>
        <v>20</v>
      </c>
      <c r="H8" s="55">
        <v>1125</v>
      </c>
      <c r="I8" s="55">
        <v>142.5</v>
      </c>
      <c r="J8" s="1"/>
      <c r="K8" s="1"/>
      <c r="Q8" s="1"/>
    </row>
    <row r="9" spans="1:19" ht="15" customHeight="1">
      <c r="A9" s="34"/>
      <c r="B9" s="3" t="s">
        <v>122</v>
      </c>
      <c r="C9" s="3" t="s">
        <v>121</v>
      </c>
      <c r="D9" s="55">
        <v>32</v>
      </c>
      <c r="E9" s="51">
        <f t="shared" si="0"/>
        <v>0</v>
      </c>
      <c r="F9" s="51">
        <f t="shared" si="1"/>
        <v>0</v>
      </c>
      <c r="G9" s="51">
        <f t="shared" si="2"/>
        <v>32</v>
      </c>
      <c r="H9" s="55">
        <v>2105.2631578947367</v>
      </c>
      <c r="I9" s="55">
        <v>237.5</v>
      </c>
      <c r="J9" s="1"/>
      <c r="K9" s="1"/>
      <c r="Q9" s="1"/>
    </row>
    <row r="10" spans="1:19" ht="15" customHeight="1">
      <c r="A10" s="34"/>
      <c r="B10" s="3" t="s">
        <v>123</v>
      </c>
      <c r="C10" s="3" t="s">
        <v>120</v>
      </c>
      <c r="D10" s="55">
        <v>18</v>
      </c>
      <c r="E10" s="51">
        <f t="shared" si="0"/>
        <v>0</v>
      </c>
      <c r="F10" s="51">
        <f t="shared" si="1"/>
        <v>0</v>
      </c>
      <c r="G10" s="51">
        <f t="shared" si="2"/>
        <v>18</v>
      </c>
      <c r="H10" s="55">
        <v>600</v>
      </c>
      <c r="I10" s="55">
        <v>71.25</v>
      </c>
      <c r="J10" s="1"/>
      <c r="K10" s="1"/>
      <c r="Q10" s="1"/>
    </row>
    <row r="11" spans="1:19" ht="15" customHeight="1">
      <c r="A11" s="34"/>
      <c r="B11" s="3" t="s">
        <v>123</v>
      </c>
      <c r="C11" s="3" t="s">
        <v>121</v>
      </c>
      <c r="D11" s="55">
        <v>32</v>
      </c>
      <c r="E11" s="51">
        <f t="shared" si="0"/>
        <v>0</v>
      </c>
      <c r="F11" s="51">
        <f t="shared" si="1"/>
        <v>-11</v>
      </c>
      <c r="G11" s="51">
        <f t="shared" si="2"/>
        <v>21</v>
      </c>
      <c r="H11" s="55">
        <v>1000</v>
      </c>
      <c r="I11" s="55">
        <v>118.75</v>
      </c>
      <c r="J11" s="1"/>
      <c r="K11" s="1"/>
      <c r="Q11" s="1"/>
    </row>
    <row r="12" spans="1:19" ht="15" customHeight="1">
      <c r="A12" s="34"/>
      <c r="B12" s="3" t="s">
        <v>95</v>
      </c>
      <c r="C12" s="3" t="s">
        <v>120</v>
      </c>
      <c r="D12" s="55">
        <v>1</v>
      </c>
      <c r="E12" s="51">
        <f t="shared" si="0"/>
        <v>4</v>
      </c>
      <c r="F12" s="51">
        <f t="shared" si="1"/>
        <v>0</v>
      </c>
      <c r="G12" s="51">
        <f t="shared" si="2"/>
        <v>5</v>
      </c>
      <c r="H12" s="55">
        <v>2000</v>
      </c>
      <c r="I12" s="55">
        <v>237.5</v>
      </c>
      <c r="J12" s="1"/>
      <c r="K12" s="1"/>
      <c r="Q12" s="1"/>
    </row>
    <row r="13" spans="1:19" ht="15" customHeight="1">
      <c r="A13" s="34"/>
      <c r="B13" s="3" t="s">
        <v>95</v>
      </c>
      <c r="C13" s="3" t="s">
        <v>121</v>
      </c>
      <c r="D13" s="55">
        <v>3</v>
      </c>
      <c r="E13" s="51">
        <f t="shared" si="0"/>
        <v>4</v>
      </c>
      <c r="F13" s="51">
        <f t="shared" si="1"/>
        <v>0</v>
      </c>
      <c r="G13" s="51">
        <f t="shared" si="2"/>
        <v>7</v>
      </c>
      <c r="H13" s="55">
        <v>2400</v>
      </c>
      <c r="I13" s="55">
        <v>285</v>
      </c>
      <c r="J13" s="1"/>
      <c r="K13" s="1"/>
      <c r="Q13" s="1"/>
    </row>
    <row r="14" spans="1:19" ht="4.8499999999999996" customHeight="1">
      <c r="B14" s="3"/>
      <c r="C14" s="3"/>
      <c r="D14" s="51"/>
      <c r="E14" s="51"/>
      <c r="F14" s="51"/>
      <c r="G14" s="51"/>
      <c r="H14" s="53"/>
      <c r="I14" s="53"/>
      <c r="J14" s="1"/>
      <c r="K14" s="1"/>
      <c r="Q14" s="1"/>
    </row>
    <row r="15" spans="1:19" s="47" customFormat="1" ht="15" customHeight="1">
      <c r="B15" s="43" t="s">
        <v>74</v>
      </c>
      <c r="C15" s="43"/>
      <c r="D15" s="56">
        <f>SUM(D6:D13)</f>
        <v>120</v>
      </c>
      <c r="E15" s="56">
        <f>SUM(E6:E13)</f>
        <v>11</v>
      </c>
      <c r="F15" s="56">
        <f>SUM(F6:F13)</f>
        <v>-11</v>
      </c>
      <c r="G15" s="56">
        <f>SUM(G6:G13)</f>
        <v>120</v>
      </c>
      <c r="H15" s="56">
        <f>SUMPRODUCT(H6:H13,$D$6:$D$13)/$D$15</f>
        <v>2087.1513720197931</v>
      </c>
      <c r="I15" s="56">
        <f>SUMPRODUCT(I6:I13,$D$6:$D$13)/$D$15</f>
        <v>237.5</v>
      </c>
      <c r="J15" s="1"/>
      <c r="K15" s="1"/>
      <c r="O15" s="39"/>
      <c r="P15" s="39"/>
      <c r="Q15" s="1"/>
      <c r="R15" s="54"/>
      <c r="S15" s="54"/>
    </row>
    <row r="16" spans="1:19" ht="15" customHeight="1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38"/>
      <c r="N16" s="38"/>
      <c r="O16" s="38"/>
      <c r="P16" s="38"/>
      <c r="Q16" s="1"/>
    </row>
    <row r="17" spans="2:17" ht="15" customHeight="1">
      <c r="B17" s="68" t="s">
        <v>244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38"/>
      <c r="N17" s="38"/>
      <c r="O17" s="38"/>
      <c r="P17" s="38"/>
      <c r="Q17" s="1"/>
    </row>
    <row r="18" spans="2:17" ht="15" customHeight="1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38"/>
      <c r="N18" s="38"/>
      <c r="O18" s="38"/>
      <c r="P18" s="38"/>
      <c r="Q18" s="1"/>
    </row>
    <row r="19" spans="2:17" ht="15" customHeight="1">
      <c r="B19" s="25" t="s">
        <v>113</v>
      </c>
      <c r="C19" s="25" t="s">
        <v>114</v>
      </c>
      <c r="D19" s="2" t="s">
        <v>38</v>
      </c>
      <c r="E19" s="2" t="s">
        <v>9</v>
      </c>
      <c r="F19" s="2" t="s">
        <v>39</v>
      </c>
      <c r="G19" s="2" t="s">
        <v>40</v>
      </c>
      <c r="H19" s="2" t="s">
        <v>41</v>
      </c>
      <c r="I19" s="2" t="s">
        <v>42</v>
      </c>
      <c r="J19" s="2" t="s">
        <v>43</v>
      </c>
      <c r="K19" s="2" t="s">
        <v>44</v>
      </c>
      <c r="L19" s="2" t="s">
        <v>45</v>
      </c>
      <c r="M19" s="2" t="s">
        <v>46</v>
      </c>
      <c r="N19" s="2" t="s">
        <v>47</v>
      </c>
      <c r="O19" s="2" t="s">
        <v>48</v>
      </c>
      <c r="P19" s="2" t="s">
        <v>49</v>
      </c>
      <c r="Q19" s="2" t="s">
        <v>136</v>
      </c>
    </row>
    <row r="20" spans="2:17" ht="15" customHeight="1">
      <c r="B20" s="3" t="s">
        <v>119</v>
      </c>
      <c r="C20" s="3" t="s">
        <v>120</v>
      </c>
      <c r="D20" s="55"/>
      <c r="E20" s="52">
        <v>0</v>
      </c>
      <c r="F20" s="52">
        <v>0</v>
      </c>
      <c r="G20" s="52">
        <v>1</v>
      </c>
      <c r="H20" s="52">
        <v>0</v>
      </c>
      <c r="I20" s="52">
        <v>0</v>
      </c>
      <c r="J20" s="52">
        <v>0</v>
      </c>
      <c r="K20" s="52">
        <v>1</v>
      </c>
      <c r="L20" s="52">
        <v>0</v>
      </c>
      <c r="M20" s="52">
        <v>0</v>
      </c>
      <c r="N20" s="52">
        <v>1</v>
      </c>
      <c r="O20" s="52">
        <v>0</v>
      </c>
      <c r="P20" s="52">
        <v>0</v>
      </c>
      <c r="Q20" s="56">
        <f>SUM(E20:P20)</f>
        <v>3</v>
      </c>
    </row>
    <row r="21" spans="2:17" ht="15" customHeight="1">
      <c r="B21" s="3" t="s">
        <v>119</v>
      </c>
      <c r="C21" s="3" t="s">
        <v>121</v>
      </c>
      <c r="D21" s="55"/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6">
        <f t="shared" ref="Q21:Q27" si="3">SUM(E21:P21)</f>
        <v>0</v>
      </c>
    </row>
    <row r="22" spans="2:17" ht="15" customHeight="1">
      <c r="B22" s="3" t="s">
        <v>122</v>
      </c>
      <c r="C22" s="3" t="s">
        <v>120</v>
      </c>
      <c r="D22" s="55"/>
      <c r="E22" s="52">
        <v>0</v>
      </c>
      <c r="F22" s="52">
        <v>0</v>
      </c>
      <c r="G22" s="52">
        <v>0</v>
      </c>
      <c r="H22" s="52">
        <v>0</v>
      </c>
      <c r="I22" s="52">
        <v>0</v>
      </c>
      <c r="J22" s="52">
        <v>0</v>
      </c>
      <c r="K22" s="52">
        <v>0</v>
      </c>
      <c r="L22" s="52">
        <v>0</v>
      </c>
      <c r="M22" s="52">
        <v>0</v>
      </c>
      <c r="N22" s="52">
        <v>0</v>
      </c>
      <c r="O22" s="52">
        <v>0</v>
      </c>
      <c r="P22" s="52">
        <v>0</v>
      </c>
      <c r="Q22" s="56">
        <f t="shared" si="3"/>
        <v>0</v>
      </c>
    </row>
    <row r="23" spans="2:17" ht="15" customHeight="1">
      <c r="B23" s="3" t="s">
        <v>122</v>
      </c>
      <c r="C23" s="3" t="s">
        <v>121</v>
      </c>
      <c r="D23" s="55"/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6">
        <f t="shared" si="3"/>
        <v>0</v>
      </c>
    </row>
    <row r="24" spans="2:17" ht="15" customHeight="1">
      <c r="B24" s="3" t="s">
        <v>123</v>
      </c>
      <c r="C24" s="3" t="s">
        <v>120</v>
      </c>
      <c r="D24" s="55"/>
      <c r="E24" s="52">
        <v>0</v>
      </c>
      <c r="F24" s="52">
        <v>0</v>
      </c>
      <c r="G24" s="52">
        <v>0</v>
      </c>
      <c r="H24" s="52">
        <v>0</v>
      </c>
      <c r="I24" s="52">
        <v>0</v>
      </c>
      <c r="J24" s="52">
        <v>0</v>
      </c>
      <c r="K24" s="52">
        <v>0</v>
      </c>
      <c r="L24" s="52">
        <v>0</v>
      </c>
      <c r="M24" s="52">
        <v>0</v>
      </c>
      <c r="N24" s="52">
        <v>0</v>
      </c>
      <c r="O24" s="52">
        <v>0</v>
      </c>
      <c r="P24" s="52">
        <v>0</v>
      </c>
      <c r="Q24" s="56">
        <f t="shared" si="3"/>
        <v>0</v>
      </c>
    </row>
    <row r="25" spans="2:17" ht="15" customHeight="1">
      <c r="B25" s="3" t="s">
        <v>123</v>
      </c>
      <c r="C25" s="3" t="s">
        <v>121</v>
      </c>
      <c r="D25" s="55"/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6">
        <f t="shared" si="3"/>
        <v>0</v>
      </c>
    </row>
    <row r="26" spans="2:17" ht="15" customHeight="1">
      <c r="B26" s="3" t="s">
        <v>95</v>
      </c>
      <c r="C26" s="3" t="s">
        <v>120</v>
      </c>
      <c r="D26" s="55"/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1</v>
      </c>
      <c r="K26" s="52">
        <v>0</v>
      </c>
      <c r="L26" s="52">
        <v>1</v>
      </c>
      <c r="M26" s="52">
        <v>0</v>
      </c>
      <c r="N26" s="52">
        <v>1</v>
      </c>
      <c r="O26" s="52">
        <v>0</v>
      </c>
      <c r="P26" s="52">
        <v>1</v>
      </c>
      <c r="Q26" s="56">
        <f t="shared" si="3"/>
        <v>4</v>
      </c>
    </row>
    <row r="27" spans="2:17" ht="15" customHeight="1">
      <c r="B27" s="3" t="s">
        <v>95</v>
      </c>
      <c r="C27" s="3" t="s">
        <v>121</v>
      </c>
      <c r="D27" s="55"/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1</v>
      </c>
      <c r="K27" s="52">
        <v>0</v>
      </c>
      <c r="L27" s="52">
        <v>1</v>
      </c>
      <c r="M27" s="52">
        <v>0</v>
      </c>
      <c r="N27" s="52">
        <v>1</v>
      </c>
      <c r="O27" s="52">
        <v>0</v>
      </c>
      <c r="P27" s="52">
        <v>1</v>
      </c>
      <c r="Q27" s="56">
        <f t="shared" si="3"/>
        <v>4</v>
      </c>
    </row>
    <row r="28" spans="2:17" ht="3" customHeight="1">
      <c r="B28" s="3"/>
      <c r="C28" s="3"/>
      <c r="D28" s="51"/>
      <c r="E28" s="1"/>
      <c r="F28" s="1"/>
      <c r="G28" s="1"/>
      <c r="H28" s="1"/>
      <c r="I28" s="1"/>
      <c r="J28" s="1"/>
      <c r="K28" s="1"/>
      <c r="L28" s="1"/>
      <c r="M28" s="38"/>
      <c r="N28" s="38"/>
      <c r="O28" s="38"/>
      <c r="P28" s="38"/>
      <c r="Q28" s="73"/>
    </row>
    <row r="29" spans="2:17" ht="15" customHeight="1">
      <c r="B29" s="43" t="s">
        <v>74</v>
      </c>
      <c r="C29" s="43"/>
      <c r="D29" s="56">
        <f>SUM(D20:D27)</f>
        <v>0</v>
      </c>
      <c r="E29" s="56">
        <f t="shared" ref="E29:P29" si="4">SUM(E20:E27)</f>
        <v>0</v>
      </c>
      <c r="F29" s="56">
        <f t="shared" si="4"/>
        <v>0</v>
      </c>
      <c r="G29" s="56">
        <f t="shared" si="4"/>
        <v>1</v>
      </c>
      <c r="H29" s="56">
        <f t="shared" si="4"/>
        <v>0</v>
      </c>
      <c r="I29" s="56">
        <f t="shared" si="4"/>
        <v>0</v>
      </c>
      <c r="J29" s="56">
        <f t="shared" si="4"/>
        <v>2</v>
      </c>
      <c r="K29" s="56">
        <f t="shared" si="4"/>
        <v>1</v>
      </c>
      <c r="L29" s="56">
        <f t="shared" si="4"/>
        <v>2</v>
      </c>
      <c r="M29" s="56">
        <f t="shared" si="4"/>
        <v>0</v>
      </c>
      <c r="N29" s="56">
        <f t="shared" si="4"/>
        <v>3</v>
      </c>
      <c r="O29" s="56">
        <f t="shared" si="4"/>
        <v>0</v>
      </c>
      <c r="P29" s="56">
        <f t="shared" si="4"/>
        <v>2</v>
      </c>
      <c r="Q29" s="56">
        <f t="shared" ref="Q29" si="5">SUM(Q20:Q27)</f>
        <v>11</v>
      </c>
    </row>
    <row r="30" spans="2:17" ht="15" customHeight="1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38"/>
      <c r="N30" s="38"/>
      <c r="O30" s="38"/>
      <c r="P30" s="38"/>
      <c r="Q30" s="1"/>
    </row>
    <row r="31" spans="2:17" ht="15" customHeight="1">
      <c r="B31" s="68" t="s">
        <v>245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38"/>
      <c r="N31" s="38"/>
      <c r="O31" s="38"/>
      <c r="P31" s="38"/>
      <c r="Q31" s="1"/>
    </row>
    <row r="32" spans="2:17" ht="15" customHeight="1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38"/>
      <c r="N32" s="38"/>
      <c r="O32" s="38"/>
      <c r="P32" s="38"/>
      <c r="Q32" s="1"/>
    </row>
    <row r="33" spans="2:17" ht="15" customHeight="1">
      <c r="B33" s="25" t="s">
        <v>113</v>
      </c>
      <c r="C33" s="25" t="s">
        <v>114</v>
      </c>
      <c r="D33" s="2" t="s">
        <v>38</v>
      </c>
      <c r="E33" s="2" t="s">
        <v>9</v>
      </c>
      <c r="F33" s="2" t="s">
        <v>39</v>
      </c>
      <c r="G33" s="2" t="s">
        <v>40</v>
      </c>
      <c r="H33" s="2" t="s">
        <v>41</v>
      </c>
      <c r="I33" s="2" t="s">
        <v>42</v>
      </c>
      <c r="J33" s="2" t="s">
        <v>43</v>
      </c>
      <c r="K33" s="2" t="s">
        <v>44</v>
      </c>
      <c r="L33" s="2" t="s">
        <v>45</v>
      </c>
      <c r="M33" s="2" t="s">
        <v>46</v>
      </c>
      <c r="N33" s="2" t="s">
        <v>47</v>
      </c>
      <c r="O33" s="2" t="s">
        <v>48</v>
      </c>
      <c r="P33" s="2" t="s">
        <v>49</v>
      </c>
      <c r="Q33" s="2" t="s">
        <v>136</v>
      </c>
    </row>
    <row r="34" spans="2:17" ht="15" customHeight="1">
      <c r="B34" s="3" t="s">
        <v>119</v>
      </c>
      <c r="C34" s="3" t="s">
        <v>120</v>
      </c>
      <c r="D34" s="55"/>
      <c r="E34" s="51">
        <f>+E20*$I6</f>
        <v>0</v>
      </c>
      <c r="F34" s="51">
        <f>+F20*$I6+E34</f>
        <v>0</v>
      </c>
      <c r="G34" s="51">
        <f t="shared" ref="G34:P34" si="6">+G20*$I6+F34</f>
        <v>665</v>
      </c>
      <c r="H34" s="51">
        <f t="shared" si="6"/>
        <v>665</v>
      </c>
      <c r="I34" s="51">
        <f t="shared" si="6"/>
        <v>665</v>
      </c>
      <c r="J34" s="51">
        <f t="shared" si="6"/>
        <v>665</v>
      </c>
      <c r="K34" s="51">
        <f t="shared" si="6"/>
        <v>1330</v>
      </c>
      <c r="L34" s="51">
        <f t="shared" si="6"/>
        <v>1330</v>
      </c>
      <c r="M34" s="51">
        <f t="shared" si="6"/>
        <v>1330</v>
      </c>
      <c r="N34" s="51">
        <f t="shared" si="6"/>
        <v>1995</v>
      </c>
      <c r="O34" s="51">
        <f t="shared" si="6"/>
        <v>1995</v>
      </c>
      <c r="P34" s="51">
        <f t="shared" si="6"/>
        <v>1995</v>
      </c>
      <c r="Q34" s="56">
        <f>SUM(E34:P34)</f>
        <v>12635</v>
      </c>
    </row>
    <row r="35" spans="2:17" ht="15" customHeight="1">
      <c r="B35" s="3" t="s">
        <v>119</v>
      </c>
      <c r="C35" s="3" t="s">
        <v>121</v>
      </c>
      <c r="D35" s="55"/>
      <c r="E35" s="51">
        <f t="shared" ref="E35:E41" si="7">+E21*$I7</f>
        <v>0</v>
      </c>
      <c r="F35" s="51">
        <f t="shared" ref="F35:P35" si="8">+F21*$I7+E35</f>
        <v>0</v>
      </c>
      <c r="G35" s="51">
        <f t="shared" si="8"/>
        <v>0</v>
      </c>
      <c r="H35" s="51">
        <f t="shared" si="8"/>
        <v>0</v>
      </c>
      <c r="I35" s="51">
        <f t="shared" si="8"/>
        <v>0</v>
      </c>
      <c r="J35" s="51">
        <f t="shared" si="8"/>
        <v>0</v>
      </c>
      <c r="K35" s="51">
        <f t="shared" si="8"/>
        <v>0</v>
      </c>
      <c r="L35" s="51">
        <f t="shared" si="8"/>
        <v>0</v>
      </c>
      <c r="M35" s="51">
        <f t="shared" si="8"/>
        <v>0</v>
      </c>
      <c r="N35" s="51">
        <f t="shared" si="8"/>
        <v>0</v>
      </c>
      <c r="O35" s="51">
        <f t="shared" si="8"/>
        <v>0</v>
      </c>
      <c r="P35" s="51">
        <f t="shared" si="8"/>
        <v>0</v>
      </c>
      <c r="Q35" s="56">
        <f t="shared" ref="Q35:Q41" si="9">SUM(E35:P35)</f>
        <v>0</v>
      </c>
    </row>
    <row r="36" spans="2:17" ht="15" customHeight="1">
      <c r="B36" s="3" t="s">
        <v>122</v>
      </c>
      <c r="C36" s="3" t="s">
        <v>120</v>
      </c>
      <c r="D36" s="55"/>
      <c r="E36" s="51">
        <f t="shared" si="7"/>
        <v>0</v>
      </c>
      <c r="F36" s="51">
        <f t="shared" ref="F36:P36" si="10">+F22*$I8+E36</f>
        <v>0</v>
      </c>
      <c r="G36" s="51">
        <f t="shared" si="10"/>
        <v>0</v>
      </c>
      <c r="H36" s="51">
        <f t="shared" si="10"/>
        <v>0</v>
      </c>
      <c r="I36" s="51">
        <f t="shared" si="10"/>
        <v>0</v>
      </c>
      <c r="J36" s="51">
        <f t="shared" si="10"/>
        <v>0</v>
      </c>
      <c r="K36" s="51">
        <f t="shared" si="10"/>
        <v>0</v>
      </c>
      <c r="L36" s="51">
        <f t="shared" si="10"/>
        <v>0</v>
      </c>
      <c r="M36" s="51">
        <f t="shared" si="10"/>
        <v>0</v>
      </c>
      <c r="N36" s="51">
        <f t="shared" si="10"/>
        <v>0</v>
      </c>
      <c r="O36" s="51">
        <f t="shared" si="10"/>
        <v>0</v>
      </c>
      <c r="P36" s="51">
        <f t="shared" si="10"/>
        <v>0</v>
      </c>
      <c r="Q36" s="56">
        <f t="shared" si="9"/>
        <v>0</v>
      </c>
    </row>
    <row r="37" spans="2:17" ht="15" customHeight="1">
      <c r="B37" s="3" t="s">
        <v>122</v>
      </c>
      <c r="C37" s="3" t="s">
        <v>121</v>
      </c>
      <c r="D37" s="55"/>
      <c r="E37" s="51">
        <f t="shared" si="7"/>
        <v>0</v>
      </c>
      <c r="F37" s="51">
        <f t="shared" ref="F37:P37" si="11">+F23*$I9+E37</f>
        <v>0</v>
      </c>
      <c r="G37" s="51">
        <f t="shared" si="11"/>
        <v>0</v>
      </c>
      <c r="H37" s="51">
        <f t="shared" si="11"/>
        <v>0</v>
      </c>
      <c r="I37" s="51">
        <f t="shared" si="11"/>
        <v>0</v>
      </c>
      <c r="J37" s="51">
        <f t="shared" si="11"/>
        <v>0</v>
      </c>
      <c r="K37" s="51">
        <f t="shared" si="11"/>
        <v>0</v>
      </c>
      <c r="L37" s="51">
        <f t="shared" si="11"/>
        <v>0</v>
      </c>
      <c r="M37" s="51">
        <f t="shared" si="11"/>
        <v>0</v>
      </c>
      <c r="N37" s="51">
        <f t="shared" si="11"/>
        <v>0</v>
      </c>
      <c r="O37" s="51">
        <f t="shared" si="11"/>
        <v>0</v>
      </c>
      <c r="P37" s="51">
        <f t="shared" si="11"/>
        <v>0</v>
      </c>
      <c r="Q37" s="56">
        <f t="shared" si="9"/>
        <v>0</v>
      </c>
    </row>
    <row r="38" spans="2:17" ht="15" customHeight="1">
      <c r="B38" s="3" t="s">
        <v>123</v>
      </c>
      <c r="C38" s="3" t="s">
        <v>120</v>
      </c>
      <c r="D38" s="55"/>
      <c r="E38" s="51">
        <f t="shared" si="7"/>
        <v>0</v>
      </c>
      <c r="F38" s="51">
        <f t="shared" ref="F38:P38" si="12">+F24*$I10+E38</f>
        <v>0</v>
      </c>
      <c r="G38" s="51">
        <f t="shared" si="12"/>
        <v>0</v>
      </c>
      <c r="H38" s="51">
        <f t="shared" si="12"/>
        <v>0</v>
      </c>
      <c r="I38" s="51">
        <f t="shared" si="12"/>
        <v>0</v>
      </c>
      <c r="J38" s="51">
        <f t="shared" si="12"/>
        <v>0</v>
      </c>
      <c r="K38" s="51">
        <f t="shared" si="12"/>
        <v>0</v>
      </c>
      <c r="L38" s="51">
        <f t="shared" si="12"/>
        <v>0</v>
      </c>
      <c r="M38" s="51">
        <f t="shared" si="12"/>
        <v>0</v>
      </c>
      <c r="N38" s="51">
        <f t="shared" si="12"/>
        <v>0</v>
      </c>
      <c r="O38" s="51">
        <f t="shared" si="12"/>
        <v>0</v>
      </c>
      <c r="P38" s="51">
        <f t="shared" si="12"/>
        <v>0</v>
      </c>
      <c r="Q38" s="56">
        <f t="shared" si="9"/>
        <v>0</v>
      </c>
    </row>
    <row r="39" spans="2:17" ht="15" customHeight="1">
      <c r="B39" s="3" t="s">
        <v>123</v>
      </c>
      <c r="C39" s="3" t="s">
        <v>121</v>
      </c>
      <c r="D39" s="55"/>
      <c r="E39" s="51">
        <f t="shared" si="7"/>
        <v>0</v>
      </c>
      <c r="F39" s="51">
        <f t="shared" ref="F39:P39" si="13">+F25*$I11+E39</f>
        <v>0</v>
      </c>
      <c r="G39" s="51">
        <f t="shared" si="13"/>
        <v>0</v>
      </c>
      <c r="H39" s="51">
        <f t="shared" si="13"/>
        <v>0</v>
      </c>
      <c r="I39" s="51">
        <f t="shared" si="13"/>
        <v>0</v>
      </c>
      <c r="J39" s="51">
        <f t="shared" si="13"/>
        <v>0</v>
      </c>
      <c r="K39" s="51">
        <f t="shared" si="13"/>
        <v>0</v>
      </c>
      <c r="L39" s="51">
        <f t="shared" si="13"/>
        <v>0</v>
      </c>
      <c r="M39" s="51">
        <f t="shared" si="13"/>
        <v>0</v>
      </c>
      <c r="N39" s="51">
        <f t="shared" si="13"/>
        <v>0</v>
      </c>
      <c r="O39" s="51">
        <f t="shared" si="13"/>
        <v>0</v>
      </c>
      <c r="P39" s="51">
        <f t="shared" si="13"/>
        <v>0</v>
      </c>
      <c r="Q39" s="56">
        <f t="shared" si="9"/>
        <v>0</v>
      </c>
    </row>
    <row r="40" spans="2:17" ht="15" customHeight="1">
      <c r="B40" s="3" t="s">
        <v>95</v>
      </c>
      <c r="C40" s="3" t="s">
        <v>120</v>
      </c>
      <c r="D40" s="55"/>
      <c r="E40" s="51">
        <f t="shared" si="7"/>
        <v>0</v>
      </c>
      <c r="F40" s="51">
        <f t="shared" ref="F40:P40" si="14">+F26*$I12+E40</f>
        <v>0</v>
      </c>
      <c r="G40" s="51">
        <f t="shared" si="14"/>
        <v>0</v>
      </c>
      <c r="H40" s="51">
        <f t="shared" si="14"/>
        <v>0</v>
      </c>
      <c r="I40" s="51">
        <f t="shared" si="14"/>
        <v>0</v>
      </c>
      <c r="J40" s="51">
        <f t="shared" si="14"/>
        <v>237.5</v>
      </c>
      <c r="K40" s="51">
        <f t="shared" si="14"/>
        <v>237.5</v>
      </c>
      <c r="L40" s="51">
        <f t="shared" si="14"/>
        <v>475</v>
      </c>
      <c r="M40" s="51">
        <f t="shared" si="14"/>
        <v>475</v>
      </c>
      <c r="N40" s="51">
        <f t="shared" si="14"/>
        <v>712.5</v>
      </c>
      <c r="O40" s="51">
        <f t="shared" si="14"/>
        <v>712.5</v>
      </c>
      <c r="P40" s="51">
        <f t="shared" si="14"/>
        <v>950</v>
      </c>
      <c r="Q40" s="56">
        <f t="shared" si="9"/>
        <v>3800</v>
      </c>
    </row>
    <row r="41" spans="2:17" ht="15" customHeight="1">
      <c r="B41" s="3" t="s">
        <v>95</v>
      </c>
      <c r="C41" s="3" t="s">
        <v>121</v>
      </c>
      <c r="D41" s="55"/>
      <c r="E41" s="51">
        <f t="shared" si="7"/>
        <v>0</v>
      </c>
      <c r="F41" s="51">
        <f t="shared" ref="F41:P41" si="15">+F27*$I13+E41</f>
        <v>0</v>
      </c>
      <c r="G41" s="51">
        <f t="shared" si="15"/>
        <v>0</v>
      </c>
      <c r="H41" s="51">
        <f t="shared" si="15"/>
        <v>0</v>
      </c>
      <c r="I41" s="51">
        <f t="shared" si="15"/>
        <v>0</v>
      </c>
      <c r="J41" s="51">
        <f t="shared" si="15"/>
        <v>285</v>
      </c>
      <c r="K41" s="51">
        <f t="shared" si="15"/>
        <v>285</v>
      </c>
      <c r="L41" s="51">
        <f t="shared" si="15"/>
        <v>570</v>
      </c>
      <c r="M41" s="51">
        <f t="shared" si="15"/>
        <v>570</v>
      </c>
      <c r="N41" s="51">
        <f t="shared" si="15"/>
        <v>855</v>
      </c>
      <c r="O41" s="51">
        <f t="shared" si="15"/>
        <v>855</v>
      </c>
      <c r="P41" s="51">
        <f t="shared" si="15"/>
        <v>1140</v>
      </c>
      <c r="Q41" s="56">
        <f t="shared" si="9"/>
        <v>4560</v>
      </c>
    </row>
    <row r="42" spans="2:17" ht="6.9" customHeight="1">
      <c r="B42" s="3"/>
      <c r="C42" s="3"/>
      <c r="D42" s="51"/>
      <c r="E42" s="1"/>
      <c r="F42" s="1"/>
      <c r="G42" s="1"/>
      <c r="H42" s="1"/>
      <c r="I42" s="1"/>
      <c r="J42" s="1"/>
      <c r="K42" s="1"/>
      <c r="L42" s="1"/>
      <c r="M42" s="38"/>
      <c r="N42" s="38"/>
      <c r="O42" s="38"/>
      <c r="P42" s="38"/>
      <c r="Q42" s="73"/>
    </row>
    <row r="43" spans="2:17" ht="15" customHeight="1">
      <c r="B43" s="43" t="s">
        <v>74</v>
      </c>
      <c r="C43" s="43"/>
      <c r="D43" s="56">
        <f>SUM(D34:D41)</f>
        <v>0</v>
      </c>
      <c r="E43" s="56">
        <f t="shared" ref="E43:Q43" si="16">SUM(E34:E41)</f>
        <v>0</v>
      </c>
      <c r="F43" s="56">
        <f t="shared" si="16"/>
        <v>0</v>
      </c>
      <c r="G43" s="56">
        <f t="shared" si="16"/>
        <v>665</v>
      </c>
      <c r="H43" s="56">
        <f t="shared" si="16"/>
        <v>665</v>
      </c>
      <c r="I43" s="56">
        <f t="shared" si="16"/>
        <v>665</v>
      </c>
      <c r="J43" s="56">
        <f t="shared" si="16"/>
        <v>1187.5</v>
      </c>
      <c r="K43" s="56">
        <f t="shared" si="16"/>
        <v>1852.5</v>
      </c>
      <c r="L43" s="56">
        <f t="shared" si="16"/>
        <v>2375</v>
      </c>
      <c r="M43" s="56">
        <f t="shared" si="16"/>
        <v>2375</v>
      </c>
      <c r="N43" s="56">
        <f t="shared" si="16"/>
        <v>3562.5</v>
      </c>
      <c r="O43" s="56">
        <f t="shared" si="16"/>
        <v>3562.5</v>
      </c>
      <c r="P43" s="56">
        <f t="shared" si="16"/>
        <v>4085</v>
      </c>
      <c r="Q43" s="56">
        <f t="shared" si="16"/>
        <v>20995</v>
      </c>
    </row>
    <row r="44" spans="2:17" ht="15" customHeight="1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38"/>
      <c r="N44" s="38"/>
      <c r="O44" s="38"/>
      <c r="P44" s="38"/>
      <c r="Q44" s="1"/>
    </row>
    <row r="45" spans="2:17" ht="15" customHeight="1">
      <c r="B45" s="68" t="s">
        <v>246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38"/>
      <c r="N45" s="38"/>
      <c r="O45" s="38"/>
      <c r="P45" s="38"/>
      <c r="Q45" s="1"/>
    </row>
    <row r="46" spans="2:17" ht="15" customHeight="1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38"/>
      <c r="N46" s="38"/>
      <c r="O46" s="38"/>
      <c r="P46" s="38"/>
      <c r="Q46" s="1"/>
    </row>
    <row r="47" spans="2:17" ht="15" customHeight="1">
      <c r="B47" s="25" t="s">
        <v>113</v>
      </c>
      <c r="C47" s="25" t="s">
        <v>114</v>
      </c>
      <c r="D47" s="2" t="s">
        <v>38</v>
      </c>
      <c r="E47" s="2" t="s">
        <v>9</v>
      </c>
      <c r="F47" s="2" t="s">
        <v>39</v>
      </c>
      <c r="G47" s="2" t="s">
        <v>40</v>
      </c>
      <c r="H47" s="2" t="s">
        <v>41</v>
      </c>
      <c r="I47" s="2" t="s">
        <v>42</v>
      </c>
      <c r="J47" s="2" t="s">
        <v>43</v>
      </c>
      <c r="K47" s="2" t="s">
        <v>44</v>
      </c>
      <c r="L47" s="2" t="s">
        <v>45</v>
      </c>
      <c r="M47" s="2" t="s">
        <v>46</v>
      </c>
      <c r="N47" s="2" t="s">
        <v>47</v>
      </c>
      <c r="O47" s="2" t="s">
        <v>48</v>
      </c>
      <c r="P47" s="2" t="s">
        <v>49</v>
      </c>
      <c r="Q47" s="2" t="s">
        <v>136</v>
      </c>
    </row>
    <row r="48" spans="2:17" ht="15" customHeight="1">
      <c r="B48" s="3" t="s">
        <v>119</v>
      </c>
      <c r="C48" s="3" t="s">
        <v>120</v>
      </c>
      <c r="D48" s="55"/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  <c r="Q48" s="56">
        <f>SUM(E48:P48)</f>
        <v>0</v>
      </c>
    </row>
    <row r="49" spans="2:17" ht="15" customHeight="1">
      <c r="B49" s="3" t="s">
        <v>119</v>
      </c>
      <c r="C49" s="3" t="s">
        <v>121</v>
      </c>
      <c r="D49" s="55"/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6">
        <f t="shared" ref="Q49:Q55" si="17">SUM(E49:P49)</f>
        <v>0</v>
      </c>
    </row>
    <row r="50" spans="2:17" ht="15" customHeight="1">
      <c r="B50" s="3" t="s">
        <v>122</v>
      </c>
      <c r="C50" s="3" t="s">
        <v>120</v>
      </c>
      <c r="D50" s="55"/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6">
        <f t="shared" si="17"/>
        <v>0</v>
      </c>
    </row>
    <row r="51" spans="2:17" ht="15" customHeight="1">
      <c r="B51" s="3" t="s">
        <v>122</v>
      </c>
      <c r="C51" s="3" t="s">
        <v>121</v>
      </c>
      <c r="D51" s="55"/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6">
        <f t="shared" si="17"/>
        <v>0</v>
      </c>
    </row>
    <row r="52" spans="2:17" ht="15" customHeight="1">
      <c r="B52" s="3" t="s">
        <v>123</v>
      </c>
      <c r="C52" s="3" t="s">
        <v>120</v>
      </c>
      <c r="D52" s="55"/>
      <c r="E52" s="52">
        <v>0</v>
      </c>
      <c r="F52" s="52">
        <v>0</v>
      </c>
      <c r="G52" s="52">
        <v>0</v>
      </c>
      <c r="H52" s="52">
        <v>0</v>
      </c>
      <c r="I52" s="52">
        <v>0</v>
      </c>
      <c r="J52" s="52">
        <v>0</v>
      </c>
      <c r="K52" s="52">
        <v>0</v>
      </c>
      <c r="L52" s="52">
        <v>0</v>
      </c>
      <c r="M52" s="52">
        <v>0</v>
      </c>
      <c r="N52" s="52">
        <v>0</v>
      </c>
      <c r="O52" s="52">
        <v>0</v>
      </c>
      <c r="P52" s="52">
        <v>0</v>
      </c>
      <c r="Q52" s="56">
        <f t="shared" si="17"/>
        <v>0</v>
      </c>
    </row>
    <row r="53" spans="2:17" ht="15" customHeight="1">
      <c r="B53" s="3" t="s">
        <v>123</v>
      </c>
      <c r="C53" s="3" t="s">
        <v>121</v>
      </c>
      <c r="D53" s="55"/>
      <c r="E53" s="52">
        <v>0</v>
      </c>
      <c r="F53" s="52">
        <v>0</v>
      </c>
      <c r="G53" s="52">
        <v>-1</v>
      </c>
      <c r="H53" s="52">
        <v>-2</v>
      </c>
      <c r="I53" s="52">
        <v>-2</v>
      </c>
      <c r="J53" s="52">
        <v>-2</v>
      </c>
      <c r="K53" s="52">
        <v>-2</v>
      </c>
      <c r="L53" s="52">
        <v>-2</v>
      </c>
      <c r="M53" s="52">
        <v>0</v>
      </c>
      <c r="N53" s="52">
        <v>0</v>
      </c>
      <c r="O53" s="52">
        <v>0</v>
      </c>
      <c r="P53" s="52">
        <v>0</v>
      </c>
      <c r="Q53" s="56">
        <f t="shared" si="17"/>
        <v>-11</v>
      </c>
    </row>
    <row r="54" spans="2:17" ht="15" customHeight="1">
      <c r="B54" s="3" t="s">
        <v>95</v>
      </c>
      <c r="C54" s="3" t="s">
        <v>120</v>
      </c>
      <c r="D54" s="55"/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6">
        <f t="shared" si="17"/>
        <v>0</v>
      </c>
    </row>
    <row r="55" spans="2:17" ht="15" customHeight="1">
      <c r="B55" s="3" t="s">
        <v>95</v>
      </c>
      <c r="C55" s="3" t="s">
        <v>121</v>
      </c>
      <c r="D55" s="55"/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6">
        <f t="shared" si="17"/>
        <v>0</v>
      </c>
    </row>
    <row r="56" spans="2:17" ht="4.3" customHeight="1">
      <c r="B56" s="3"/>
      <c r="C56" s="3"/>
      <c r="D56" s="51"/>
      <c r="E56" s="1"/>
      <c r="F56" s="1"/>
      <c r="G56" s="1"/>
      <c r="H56" s="1"/>
      <c r="I56" s="1"/>
      <c r="J56" s="1"/>
      <c r="K56" s="1"/>
      <c r="L56" s="1"/>
      <c r="M56" s="38"/>
      <c r="N56" s="38"/>
      <c r="O56" s="38"/>
      <c r="P56" s="38"/>
      <c r="Q56" s="73"/>
    </row>
    <row r="57" spans="2:17" ht="15" customHeight="1">
      <c r="B57" s="43" t="s">
        <v>74</v>
      </c>
      <c r="C57" s="43"/>
      <c r="D57" s="56">
        <f>SUM(D48:D55)</f>
        <v>0</v>
      </c>
      <c r="E57" s="56">
        <f t="shared" ref="E57:Q57" si="18">SUM(E48:E55)</f>
        <v>0</v>
      </c>
      <c r="F57" s="56">
        <f t="shared" si="18"/>
        <v>0</v>
      </c>
      <c r="G57" s="56">
        <f t="shared" si="18"/>
        <v>-1</v>
      </c>
      <c r="H57" s="56">
        <f t="shared" si="18"/>
        <v>-2</v>
      </c>
      <c r="I57" s="56">
        <f t="shared" si="18"/>
        <v>-2</v>
      </c>
      <c r="J57" s="56">
        <f t="shared" si="18"/>
        <v>-2</v>
      </c>
      <c r="K57" s="56">
        <f t="shared" si="18"/>
        <v>-2</v>
      </c>
      <c r="L57" s="56">
        <f t="shared" si="18"/>
        <v>-2</v>
      </c>
      <c r="M57" s="56">
        <f t="shared" si="18"/>
        <v>0</v>
      </c>
      <c r="N57" s="56">
        <f t="shared" si="18"/>
        <v>0</v>
      </c>
      <c r="O57" s="56">
        <f t="shared" si="18"/>
        <v>0</v>
      </c>
      <c r="P57" s="56">
        <f t="shared" si="18"/>
        <v>0</v>
      </c>
      <c r="Q57" s="56">
        <f t="shared" si="18"/>
        <v>-11</v>
      </c>
    </row>
    <row r="58" spans="2:17" ht="15" customHeight="1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38"/>
      <c r="N58" s="38"/>
      <c r="O58" s="38"/>
      <c r="P58" s="38"/>
      <c r="Q58" s="1"/>
    </row>
    <row r="59" spans="2:17" ht="15" customHeight="1">
      <c r="B59" s="68" t="s">
        <v>247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38"/>
      <c r="N59" s="38"/>
      <c r="O59" s="38"/>
      <c r="P59" s="38"/>
      <c r="Q59" s="1"/>
    </row>
    <row r="60" spans="2:17" ht="15" customHeight="1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38"/>
      <c r="N60" s="38"/>
      <c r="O60" s="38"/>
      <c r="P60" s="38"/>
      <c r="Q60" s="1"/>
    </row>
    <row r="61" spans="2:17" ht="15" customHeight="1">
      <c r="B61" s="25" t="s">
        <v>113</v>
      </c>
      <c r="C61" s="25" t="s">
        <v>114</v>
      </c>
      <c r="D61" s="2" t="s">
        <v>38</v>
      </c>
      <c r="E61" s="2" t="s">
        <v>9</v>
      </c>
      <c r="F61" s="2" t="s">
        <v>39</v>
      </c>
      <c r="G61" s="2" t="s">
        <v>40</v>
      </c>
      <c r="H61" s="2" t="s">
        <v>41</v>
      </c>
      <c r="I61" s="2" t="s">
        <v>42</v>
      </c>
      <c r="J61" s="2" t="s">
        <v>43</v>
      </c>
      <c r="K61" s="2" t="s">
        <v>44</v>
      </c>
      <c r="L61" s="2" t="s">
        <v>45</v>
      </c>
      <c r="M61" s="2" t="s">
        <v>46</v>
      </c>
      <c r="N61" s="2" t="s">
        <v>47</v>
      </c>
      <c r="O61" s="2" t="s">
        <v>48</v>
      </c>
      <c r="P61" s="2" t="s">
        <v>49</v>
      </c>
      <c r="Q61" s="2" t="s">
        <v>136</v>
      </c>
    </row>
    <row r="62" spans="2:17" ht="15" customHeight="1">
      <c r="B62" s="3" t="s">
        <v>119</v>
      </c>
      <c r="C62" s="3" t="s">
        <v>120</v>
      </c>
      <c r="D62" s="55"/>
      <c r="E62" s="51">
        <f>+E48*$I6</f>
        <v>0</v>
      </c>
      <c r="F62" s="51">
        <f>+F48*$I6+E62</f>
        <v>0</v>
      </c>
      <c r="G62" s="51">
        <f t="shared" ref="G62:P62" si="19">+G48*$I6+F62</f>
        <v>0</v>
      </c>
      <c r="H62" s="51">
        <f t="shared" si="19"/>
        <v>0</v>
      </c>
      <c r="I62" s="51">
        <f t="shared" si="19"/>
        <v>0</v>
      </c>
      <c r="J62" s="51">
        <f t="shared" si="19"/>
        <v>0</v>
      </c>
      <c r="K62" s="51">
        <f t="shared" si="19"/>
        <v>0</v>
      </c>
      <c r="L62" s="51">
        <f t="shared" si="19"/>
        <v>0</v>
      </c>
      <c r="M62" s="51">
        <f t="shared" si="19"/>
        <v>0</v>
      </c>
      <c r="N62" s="51">
        <f t="shared" si="19"/>
        <v>0</v>
      </c>
      <c r="O62" s="51">
        <f t="shared" si="19"/>
        <v>0</v>
      </c>
      <c r="P62" s="51">
        <f t="shared" si="19"/>
        <v>0</v>
      </c>
      <c r="Q62" s="56">
        <f>SUM(E62:P62)</f>
        <v>0</v>
      </c>
    </row>
    <row r="63" spans="2:17" ht="15" customHeight="1">
      <c r="B63" s="3" t="s">
        <v>119</v>
      </c>
      <c r="C63" s="3" t="s">
        <v>121</v>
      </c>
      <c r="D63" s="55"/>
      <c r="E63" s="51">
        <f t="shared" ref="E63" si="20">+E49*$I7</f>
        <v>0</v>
      </c>
      <c r="F63" s="51">
        <f t="shared" ref="F63:P63" si="21">+F49*$I7+E63</f>
        <v>0</v>
      </c>
      <c r="G63" s="51">
        <f t="shared" si="21"/>
        <v>0</v>
      </c>
      <c r="H63" s="51">
        <f t="shared" si="21"/>
        <v>0</v>
      </c>
      <c r="I63" s="51">
        <f t="shared" si="21"/>
        <v>0</v>
      </c>
      <c r="J63" s="51">
        <f t="shared" si="21"/>
        <v>0</v>
      </c>
      <c r="K63" s="51">
        <f t="shared" si="21"/>
        <v>0</v>
      </c>
      <c r="L63" s="51">
        <f t="shared" si="21"/>
        <v>0</v>
      </c>
      <c r="M63" s="51">
        <f t="shared" si="21"/>
        <v>0</v>
      </c>
      <c r="N63" s="51">
        <f t="shared" si="21"/>
        <v>0</v>
      </c>
      <c r="O63" s="51">
        <f t="shared" si="21"/>
        <v>0</v>
      </c>
      <c r="P63" s="51">
        <f t="shared" si="21"/>
        <v>0</v>
      </c>
      <c r="Q63" s="56">
        <f t="shared" ref="Q63:Q69" si="22">SUM(E63:P63)</f>
        <v>0</v>
      </c>
    </row>
    <row r="64" spans="2:17" ht="15" customHeight="1">
      <c r="B64" s="3" t="s">
        <v>122</v>
      </c>
      <c r="C64" s="3" t="s">
        <v>120</v>
      </c>
      <c r="D64" s="55"/>
      <c r="E64" s="51">
        <f t="shared" ref="E64" si="23">+E50*$I8</f>
        <v>0</v>
      </c>
      <c r="F64" s="51">
        <f t="shared" ref="F64:P64" si="24">+F50*$I8+E64</f>
        <v>0</v>
      </c>
      <c r="G64" s="51">
        <f t="shared" si="24"/>
        <v>0</v>
      </c>
      <c r="H64" s="51">
        <f t="shared" si="24"/>
        <v>0</v>
      </c>
      <c r="I64" s="51">
        <f t="shared" si="24"/>
        <v>0</v>
      </c>
      <c r="J64" s="51">
        <f t="shared" si="24"/>
        <v>0</v>
      </c>
      <c r="K64" s="51">
        <f t="shared" si="24"/>
        <v>0</v>
      </c>
      <c r="L64" s="51">
        <f t="shared" si="24"/>
        <v>0</v>
      </c>
      <c r="M64" s="51">
        <f t="shared" si="24"/>
        <v>0</v>
      </c>
      <c r="N64" s="51">
        <f t="shared" si="24"/>
        <v>0</v>
      </c>
      <c r="O64" s="51">
        <f t="shared" si="24"/>
        <v>0</v>
      </c>
      <c r="P64" s="51">
        <f t="shared" si="24"/>
        <v>0</v>
      </c>
      <c r="Q64" s="56">
        <f t="shared" si="22"/>
        <v>0</v>
      </c>
    </row>
    <row r="65" spans="2:19" ht="15" customHeight="1">
      <c r="B65" s="3" t="s">
        <v>122</v>
      </c>
      <c r="C65" s="3" t="s">
        <v>121</v>
      </c>
      <c r="D65" s="55"/>
      <c r="E65" s="51">
        <f t="shared" ref="E65" si="25">+E51*$I9</f>
        <v>0</v>
      </c>
      <c r="F65" s="51">
        <f t="shared" ref="F65:P65" si="26">+F51*$I9+E65</f>
        <v>0</v>
      </c>
      <c r="G65" s="51">
        <f t="shared" si="26"/>
        <v>0</v>
      </c>
      <c r="H65" s="51">
        <f t="shared" si="26"/>
        <v>0</v>
      </c>
      <c r="I65" s="51">
        <f t="shared" si="26"/>
        <v>0</v>
      </c>
      <c r="J65" s="51">
        <f t="shared" si="26"/>
        <v>0</v>
      </c>
      <c r="K65" s="51">
        <f t="shared" si="26"/>
        <v>0</v>
      </c>
      <c r="L65" s="51">
        <f t="shared" si="26"/>
        <v>0</v>
      </c>
      <c r="M65" s="51">
        <f t="shared" si="26"/>
        <v>0</v>
      </c>
      <c r="N65" s="51">
        <f t="shared" si="26"/>
        <v>0</v>
      </c>
      <c r="O65" s="51">
        <f t="shared" si="26"/>
        <v>0</v>
      </c>
      <c r="P65" s="51">
        <f t="shared" si="26"/>
        <v>0</v>
      </c>
      <c r="Q65" s="56">
        <f t="shared" si="22"/>
        <v>0</v>
      </c>
    </row>
    <row r="66" spans="2:19" ht="15" customHeight="1">
      <c r="B66" s="3" t="s">
        <v>123</v>
      </c>
      <c r="C66" s="3" t="s">
        <v>120</v>
      </c>
      <c r="D66" s="55"/>
      <c r="E66" s="51">
        <f t="shared" ref="E66" si="27">+E52*$I10</f>
        <v>0</v>
      </c>
      <c r="F66" s="51">
        <f t="shared" ref="F66:P66" si="28">+F52*$I10+E66</f>
        <v>0</v>
      </c>
      <c r="G66" s="51">
        <f t="shared" si="28"/>
        <v>0</v>
      </c>
      <c r="H66" s="51">
        <f t="shared" si="28"/>
        <v>0</v>
      </c>
      <c r="I66" s="51">
        <f t="shared" si="28"/>
        <v>0</v>
      </c>
      <c r="J66" s="51">
        <f t="shared" si="28"/>
        <v>0</v>
      </c>
      <c r="K66" s="51">
        <f t="shared" si="28"/>
        <v>0</v>
      </c>
      <c r="L66" s="51">
        <f t="shared" si="28"/>
        <v>0</v>
      </c>
      <c r="M66" s="51">
        <f t="shared" si="28"/>
        <v>0</v>
      </c>
      <c r="N66" s="51">
        <f t="shared" si="28"/>
        <v>0</v>
      </c>
      <c r="O66" s="51">
        <f t="shared" si="28"/>
        <v>0</v>
      </c>
      <c r="P66" s="51">
        <f t="shared" si="28"/>
        <v>0</v>
      </c>
      <c r="Q66" s="56">
        <f t="shared" si="22"/>
        <v>0</v>
      </c>
    </row>
    <row r="67" spans="2:19" ht="15" customHeight="1">
      <c r="B67" s="3" t="s">
        <v>123</v>
      </c>
      <c r="C67" s="3" t="s">
        <v>121</v>
      </c>
      <c r="D67" s="55"/>
      <c r="E67" s="51">
        <f t="shared" ref="E67" si="29">+E53*$I11</f>
        <v>0</v>
      </c>
      <c r="F67" s="51">
        <f t="shared" ref="F67:P67" si="30">+F53*$I11+E67</f>
        <v>0</v>
      </c>
      <c r="G67" s="51">
        <f t="shared" si="30"/>
        <v>-118.75</v>
      </c>
      <c r="H67" s="51">
        <f t="shared" si="30"/>
        <v>-356.25</v>
      </c>
      <c r="I67" s="51">
        <f t="shared" si="30"/>
        <v>-593.75</v>
      </c>
      <c r="J67" s="51">
        <f t="shared" si="30"/>
        <v>-831.25</v>
      </c>
      <c r="K67" s="51">
        <f t="shared" si="30"/>
        <v>-1068.75</v>
      </c>
      <c r="L67" s="51">
        <f t="shared" si="30"/>
        <v>-1306.25</v>
      </c>
      <c r="M67" s="51">
        <f t="shared" si="30"/>
        <v>-1306.25</v>
      </c>
      <c r="N67" s="51">
        <f t="shared" si="30"/>
        <v>-1306.25</v>
      </c>
      <c r="O67" s="51">
        <f t="shared" si="30"/>
        <v>-1306.25</v>
      </c>
      <c r="P67" s="51">
        <f t="shared" si="30"/>
        <v>-1306.25</v>
      </c>
      <c r="Q67" s="56">
        <f t="shared" si="22"/>
        <v>-9500</v>
      </c>
    </row>
    <row r="68" spans="2:19" ht="15" customHeight="1">
      <c r="B68" s="3" t="s">
        <v>95</v>
      </c>
      <c r="C68" s="3" t="s">
        <v>120</v>
      </c>
      <c r="D68" s="55"/>
      <c r="E68" s="51">
        <f t="shared" ref="E68" si="31">+E54*$I12</f>
        <v>0</v>
      </c>
      <c r="F68" s="51">
        <f t="shared" ref="F68:P68" si="32">+F54*$I12+E68</f>
        <v>0</v>
      </c>
      <c r="G68" s="51">
        <f t="shared" si="32"/>
        <v>0</v>
      </c>
      <c r="H68" s="51">
        <f t="shared" si="32"/>
        <v>0</v>
      </c>
      <c r="I68" s="51">
        <f t="shared" si="32"/>
        <v>0</v>
      </c>
      <c r="J68" s="51">
        <f t="shared" si="32"/>
        <v>0</v>
      </c>
      <c r="K68" s="51">
        <f t="shared" si="32"/>
        <v>0</v>
      </c>
      <c r="L68" s="51">
        <f t="shared" si="32"/>
        <v>0</v>
      </c>
      <c r="M68" s="51">
        <f t="shared" si="32"/>
        <v>0</v>
      </c>
      <c r="N68" s="51">
        <f t="shared" si="32"/>
        <v>0</v>
      </c>
      <c r="O68" s="51">
        <f t="shared" si="32"/>
        <v>0</v>
      </c>
      <c r="P68" s="51">
        <f t="shared" si="32"/>
        <v>0</v>
      </c>
      <c r="Q68" s="56">
        <f t="shared" si="22"/>
        <v>0</v>
      </c>
    </row>
    <row r="69" spans="2:19" ht="15" customHeight="1">
      <c r="B69" s="3" t="s">
        <v>95</v>
      </c>
      <c r="C69" s="3" t="s">
        <v>121</v>
      </c>
      <c r="D69" s="55"/>
      <c r="E69" s="51">
        <f t="shared" ref="E69" si="33">+E55*$I13</f>
        <v>0</v>
      </c>
      <c r="F69" s="51">
        <f t="shared" ref="F69:P69" si="34">+F55*$I13+E69</f>
        <v>0</v>
      </c>
      <c r="G69" s="51">
        <f t="shared" si="34"/>
        <v>0</v>
      </c>
      <c r="H69" s="51">
        <f t="shared" si="34"/>
        <v>0</v>
      </c>
      <c r="I69" s="51">
        <f t="shared" si="34"/>
        <v>0</v>
      </c>
      <c r="J69" s="51">
        <f t="shared" si="34"/>
        <v>0</v>
      </c>
      <c r="K69" s="51">
        <f t="shared" si="34"/>
        <v>0</v>
      </c>
      <c r="L69" s="51">
        <f t="shared" si="34"/>
        <v>0</v>
      </c>
      <c r="M69" s="51">
        <f t="shared" si="34"/>
        <v>0</v>
      </c>
      <c r="N69" s="51">
        <f t="shared" si="34"/>
        <v>0</v>
      </c>
      <c r="O69" s="51">
        <f t="shared" si="34"/>
        <v>0</v>
      </c>
      <c r="P69" s="51">
        <f t="shared" si="34"/>
        <v>0</v>
      </c>
      <c r="Q69" s="56">
        <f t="shared" si="22"/>
        <v>0</v>
      </c>
    </row>
    <row r="70" spans="2:19" ht="2.25" customHeight="1">
      <c r="B70" s="3"/>
      <c r="C70" s="3"/>
      <c r="D70" s="51"/>
      <c r="E70" s="1"/>
      <c r="F70" s="1"/>
      <c r="G70" s="1"/>
      <c r="H70" s="1"/>
      <c r="I70" s="1"/>
      <c r="J70" s="1"/>
      <c r="K70" s="1"/>
      <c r="L70" s="1"/>
      <c r="M70" s="38"/>
      <c r="N70" s="38"/>
      <c r="O70" s="38"/>
      <c r="P70" s="38"/>
      <c r="Q70" s="73"/>
    </row>
    <row r="71" spans="2:19" ht="15" customHeight="1">
      <c r="B71" s="43" t="s">
        <v>74</v>
      </c>
      <c r="C71" s="43"/>
      <c r="D71" s="56">
        <f>SUM(D62:D69)</f>
        <v>0</v>
      </c>
      <c r="E71" s="56">
        <f t="shared" ref="E71:Q71" si="35">SUM(E62:E69)</f>
        <v>0</v>
      </c>
      <c r="F71" s="56">
        <f t="shared" si="35"/>
        <v>0</v>
      </c>
      <c r="G71" s="56">
        <f t="shared" si="35"/>
        <v>-118.75</v>
      </c>
      <c r="H71" s="56">
        <f t="shared" si="35"/>
        <v>-356.25</v>
      </c>
      <c r="I71" s="56">
        <f t="shared" si="35"/>
        <v>-593.75</v>
      </c>
      <c r="J71" s="56">
        <f t="shared" si="35"/>
        <v>-831.25</v>
      </c>
      <c r="K71" s="56">
        <f t="shared" si="35"/>
        <v>-1068.75</v>
      </c>
      <c r="L71" s="56">
        <f t="shared" si="35"/>
        <v>-1306.25</v>
      </c>
      <c r="M71" s="56">
        <f t="shared" si="35"/>
        <v>-1306.25</v>
      </c>
      <c r="N71" s="56">
        <f t="shared" si="35"/>
        <v>-1306.25</v>
      </c>
      <c r="O71" s="56">
        <f t="shared" si="35"/>
        <v>-1306.25</v>
      </c>
      <c r="P71" s="56">
        <f t="shared" si="35"/>
        <v>-1306.25</v>
      </c>
      <c r="Q71" s="56">
        <f t="shared" si="35"/>
        <v>-9500</v>
      </c>
    </row>
    <row r="72" spans="2:19" ht="4.8499999999999996" customHeight="1"/>
    <row r="73" spans="2:19" s="47" customFormat="1" ht="15" customHeight="1">
      <c r="B73" s="98" t="s">
        <v>259</v>
      </c>
      <c r="E73" s="99">
        <f>+E71+E43</f>
        <v>0</v>
      </c>
      <c r="F73" s="99">
        <f t="shared" ref="F73:Q73" si="36">+F71+F43</f>
        <v>0</v>
      </c>
      <c r="G73" s="99">
        <f t="shared" si="36"/>
        <v>546.25</v>
      </c>
      <c r="H73" s="99">
        <f t="shared" si="36"/>
        <v>308.75</v>
      </c>
      <c r="I73" s="99">
        <f t="shared" si="36"/>
        <v>71.25</v>
      </c>
      <c r="J73" s="99">
        <f t="shared" si="36"/>
        <v>356.25</v>
      </c>
      <c r="K73" s="99">
        <f t="shared" si="36"/>
        <v>783.75</v>
      </c>
      <c r="L73" s="99">
        <f t="shared" si="36"/>
        <v>1068.75</v>
      </c>
      <c r="M73" s="99">
        <f t="shared" si="36"/>
        <v>1068.75</v>
      </c>
      <c r="N73" s="99">
        <f t="shared" si="36"/>
        <v>2256.25</v>
      </c>
      <c r="O73" s="99">
        <f t="shared" si="36"/>
        <v>2256.25</v>
      </c>
      <c r="P73" s="99">
        <f t="shared" si="36"/>
        <v>2778.75</v>
      </c>
      <c r="Q73" s="99">
        <f t="shared" si="36"/>
        <v>11495</v>
      </c>
      <c r="R73" s="57"/>
      <c r="S73" s="57"/>
    </row>
    <row r="74" spans="2:19" ht="15" customHeight="1"/>
    <row r="75" spans="2:19" ht="15" customHeight="1">
      <c r="B75" s="68" t="s">
        <v>248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38"/>
      <c r="N75" s="38"/>
      <c r="O75" s="38"/>
      <c r="P75" s="38"/>
      <c r="Q75" s="1"/>
    </row>
    <row r="76" spans="2:19" ht="15" customHeight="1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38"/>
      <c r="N76" s="38"/>
      <c r="O76" s="38"/>
      <c r="P76" s="38"/>
      <c r="Q76" s="1"/>
    </row>
    <row r="77" spans="2:19" ht="15" customHeight="1">
      <c r="B77" s="25" t="s">
        <v>113</v>
      </c>
      <c r="C77" s="25" t="s">
        <v>114</v>
      </c>
      <c r="D77" s="2" t="s">
        <v>38</v>
      </c>
      <c r="E77" s="2" t="s">
        <v>9</v>
      </c>
      <c r="F77" s="2" t="s">
        <v>39</v>
      </c>
      <c r="G77" s="2" t="s">
        <v>40</v>
      </c>
      <c r="H77" s="2" t="s">
        <v>41</v>
      </c>
      <c r="I77" s="2" t="s">
        <v>42</v>
      </c>
      <c r="J77" s="2" t="s">
        <v>43</v>
      </c>
      <c r="K77" s="2" t="s">
        <v>44</v>
      </c>
      <c r="L77" s="2" t="s">
        <v>45</v>
      </c>
      <c r="M77" s="2" t="s">
        <v>46</v>
      </c>
      <c r="N77" s="2" t="s">
        <v>47</v>
      </c>
      <c r="O77" s="2" t="s">
        <v>48</v>
      </c>
      <c r="P77" s="2" t="s">
        <v>49</v>
      </c>
      <c r="Q77" s="2" t="s">
        <v>136</v>
      </c>
    </row>
    <row r="78" spans="2:19" ht="15" customHeight="1">
      <c r="B78" s="3" t="s">
        <v>119</v>
      </c>
      <c r="C78" s="3" t="s">
        <v>120</v>
      </c>
      <c r="D78" s="55"/>
      <c r="E78" s="51">
        <f>+E20*$H6</f>
        <v>0</v>
      </c>
      <c r="F78" s="51">
        <f t="shared" ref="F78:P78" si="37">+F20*$H6</f>
        <v>0</v>
      </c>
      <c r="G78" s="51">
        <f t="shared" si="37"/>
        <v>5833.3333333333339</v>
      </c>
      <c r="H78" s="51">
        <f t="shared" si="37"/>
        <v>0</v>
      </c>
      <c r="I78" s="51">
        <f t="shared" si="37"/>
        <v>0</v>
      </c>
      <c r="J78" s="51">
        <f t="shared" si="37"/>
        <v>0</v>
      </c>
      <c r="K78" s="51">
        <f t="shared" si="37"/>
        <v>5833.3333333333339</v>
      </c>
      <c r="L78" s="51">
        <f t="shared" si="37"/>
        <v>0</v>
      </c>
      <c r="M78" s="51">
        <f t="shared" si="37"/>
        <v>0</v>
      </c>
      <c r="N78" s="51">
        <f t="shared" si="37"/>
        <v>5833.3333333333339</v>
      </c>
      <c r="O78" s="51">
        <f t="shared" si="37"/>
        <v>0</v>
      </c>
      <c r="P78" s="51">
        <f t="shared" si="37"/>
        <v>0</v>
      </c>
      <c r="Q78" s="56">
        <f>SUM(E78:P78)</f>
        <v>17500</v>
      </c>
    </row>
    <row r="79" spans="2:19" ht="15" customHeight="1">
      <c r="B79" s="3" t="s">
        <v>119</v>
      </c>
      <c r="C79" s="3" t="s">
        <v>121</v>
      </c>
      <c r="D79" s="55"/>
      <c r="E79" s="51">
        <f t="shared" ref="E79:P79" si="38">+E21*$H7</f>
        <v>0</v>
      </c>
      <c r="F79" s="51">
        <f t="shared" si="38"/>
        <v>0</v>
      </c>
      <c r="G79" s="51">
        <f t="shared" si="38"/>
        <v>0</v>
      </c>
      <c r="H79" s="51">
        <f t="shared" si="38"/>
        <v>0</v>
      </c>
      <c r="I79" s="51">
        <f t="shared" si="38"/>
        <v>0</v>
      </c>
      <c r="J79" s="51">
        <f t="shared" si="38"/>
        <v>0</v>
      </c>
      <c r="K79" s="51">
        <f t="shared" si="38"/>
        <v>0</v>
      </c>
      <c r="L79" s="51">
        <f t="shared" si="38"/>
        <v>0</v>
      </c>
      <c r="M79" s="51">
        <f t="shared" si="38"/>
        <v>0</v>
      </c>
      <c r="N79" s="51">
        <f t="shared" si="38"/>
        <v>0</v>
      </c>
      <c r="O79" s="51">
        <f t="shared" si="38"/>
        <v>0</v>
      </c>
      <c r="P79" s="51">
        <f t="shared" si="38"/>
        <v>0</v>
      </c>
      <c r="Q79" s="56">
        <f t="shared" ref="Q79:Q85" si="39">SUM(E79:P79)</f>
        <v>0</v>
      </c>
    </row>
    <row r="80" spans="2:19" ht="15" customHeight="1">
      <c r="B80" s="3" t="s">
        <v>122</v>
      </c>
      <c r="C80" s="3" t="s">
        <v>120</v>
      </c>
      <c r="D80" s="55"/>
      <c r="E80" s="51">
        <f t="shared" ref="E80:P80" si="40">+E22*$H8</f>
        <v>0</v>
      </c>
      <c r="F80" s="51">
        <f t="shared" si="40"/>
        <v>0</v>
      </c>
      <c r="G80" s="51">
        <f t="shared" si="40"/>
        <v>0</v>
      </c>
      <c r="H80" s="51">
        <f t="shared" si="40"/>
        <v>0</v>
      </c>
      <c r="I80" s="51">
        <f t="shared" si="40"/>
        <v>0</v>
      </c>
      <c r="J80" s="51">
        <f t="shared" si="40"/>
        <v>0</v>
      </c>
      <c r="K80" s="51">
        <f t="shared" si="40"/>
        <v>0</v>
      </c>
      <c r="L80" s="51">
        <f t="shared" si="40"/>
        <v>0</v>
      </c>
      <c r="M80" s="51">
        <f t="shared" si="40"/>
        <v>0</v>
      </c>
      <c r="N80" s="51">
        <f t="shared" si="40"/>
        <v>0</v>
      </c>
      <c r="O80" s="51">
        <f t="shared" si="40"/>
        <v>0</v>
      </c>
      <c r="P80" s="51">
        <f t="shared" si="40"/>
        <v>0</v>
      </c>
      <c r="Q80" s="56">
        <f t="shared" si="39"/>
        <v>0</v>
      </c>
    </row>
    <row r="81" spans="2:17" ht="15" customHeight="1">
      <c r="B81" s="3" t="s">
        <v>122</v>
      </c>
      <c r="C81" s="3" t="s">
        <v>121</v>
      </c>
      <c r="D81" s="55"/>
      <c r="E81" s="51">
        <f t="shared" ref="E81:P81" si="41">+E23*$H9</f>
        <v>0</v>
      </c>
      <c r="F81" s="51">
        <f t="shared" si="41"/>
        <v>0</v>
      </c>
      <c r="G81" s="51">
        <f t="shared" si="41"/>
        <v>0</v>
      </c>
      <c r="H81" s="51">
        <f t="shared" si="41"/>
        <v>0</v>
      </c>
      <c r="I81" s="51">
        <f t="shared" si="41"/>
        <v>0</v>
      </c>
      <c r="J81" s="51">
        <f t="shared" si="41"/>
        <v>0</v>
      </c>
      <c r="K81" s="51">
        <f t="shared" si="41"/>
        <v>0</v>
      </c>
      <c r="L81" s="51">
        <f t="shared" si="41"/>
        <v>0</v>
      </c>
      <c r="M81" s="51">
        <f t="shared" si="41"/>
        <v>0</v>
      </c>
      <c r="N81" s="51">
        <f t="shared" si="41"/>
        <v>0</v>
      </c>
      <c r="O81" s="51">
        <f t="shared" si="41"/>
        <v>0</v>
      </c>
      <c r="P81" s="51">
        <f t="shared" si="41"/>
        <v>0</v>
      </c>
      <c r="Q81" s="56">
        <f t="shared" si="39"/>
        <v>0</v>
      </c>
    </row>
    <row r="82" spans="2:17" ht="15" customHeight="1">
      <c r="B82" s="3" t="s">
        <v>123</v>
      </c>
      <c r="C82" s="3" t="s">
        <v>120</v>
      </c>
      <c r="D82" s="55"/>
      <c r="E82" s="51">
        <f t="shared" ref="E82:P82" si="42">+E24*$H10</f>
        <v>0</v>
      </c>
      <c r="F82" s="51">
        <f t="shared" si="42"/>
        <v>0</v>
      </c>
      <c r="G82" s="51">
        <f t="shared" si="42"/>
        <v>0</v>
      </c>
      <c r="H82" s="51">
        <f t="shared" si="42"/>
        <v>0</v>
      </c>
      <c r="I82" s="51">
        <f t="shared" si="42"/>
        <v>0</v>
      </c>
      <c r="J82" s="51">
        <f t="shared" si="42"/>
        <v>0</v>
      </c>
      <c r="K82" s="51">
        <f t="shared" si="42"/>
        <v>0</v>
      </c>
      <c r="L82" s="51">
        <f t="shared" si="42"/>
        <v>0</v>
      </c>
      <c r="M82" s="51">
        <f t="shared" si="42"/>
        <v>0</v>
      </c>
      <c r="N82" s="51">
        <f t="shared" si="42"/>
        <v>0</v>
      </c>
      <c r="O82" s="51">
        <f t="shared" si="42"/>
        <v>0</v>
      </c>
      <c r="P82" s="51">
        <f t="shared" si="42"/>
        <v>0</v>
      </c>
      <c r="Q82" s="56">
        <f t="shared" si="39"/>
        <v>0</v>
      </c>
    </row>
    <row r="83" spans="2:17" ht="15" customHeight="1">
      <c r="B83" s="3" t="s">
        <v>123</v>
      </c>
      <c r="C83" s="3" t="s">
        <v>121</v>
      </c>
      <c r="D83" s="55"/>
      <c r="E83" s="51">
        <f t="shared" ref="E83:P83" si="43">+E25*$H11</f>
        <v>0</v>
      </c>
      <c r="F83" s="51">
        <f t="shared" si="43"/>
        <v>0</v>
      </c>
      <c r="G83" s="51">
        <f t="shared" si="43"/>
        <v>0</v>
      </c>
      <c r="H83" s="51">
        <f t="shared" si="43"/>
        <v>0</v>
      </c>
      <c r="I83" s="51">
        <f t="shared" si="43"/>
        <v>0</v>
      </c>
      <c r="J83" s="51">
        <f t="shared" si="43"/>
        <v>0</v>
      </c>
      <c r="K83" s="51">
        <f t="shared" si="43"/>
        <v>0</v>
      </c>
      <c r="L83" s="51">
        <f t="shared" si="43"/>
        <v>0</v>
      </c>
      <c r="M83" s="51">
        <f t="shared" si="43"/>
        <v>0</v>
      </c>
      <c r="N83" s="51">
        <f t="shared" si="43"/>
        <v>0</v>
      </c>
      <c r="O83" s="51">
        <f t="shared" si="43"/>
        <v>0</v>
      </c>
      <c r="P83" s="51">
        <f t="shared" si="43"/>
        <v>0</v>
      </c>
      <c r="Q83" s="56">
        <f t="shared" si="39"/>
        <v>0</v>
      </c>
    </row>
    <row r="84" spans="2:17" ht="15" customHeight="1">
      <c r="B84" s="3" t="s">
        <v>95</v>
      </c>
      <c r="C84" s="3" t="s">
        <v>120</v>
      </c>
      <c r="D84" s="55"/>
      <c r="E84" s="51">
        <f t="shared" ref="E84:P84" si="44">+E26*$H12</f>
        <v>0</v>
      </c>
      <c r="F84" s="51">
        <f t="shared" si="44"/>
        <v>0</v>
      </c>
      <c r="G84" s="51">
        <f t="shared" si="44"/>
        <v>0</v>
      </c>
      <c r="H84" s="51">
        <f t="shared" si="44"/>
        <v>0</v>
      </c>
      <c r="I84" s="51">
        <f t="shared" si="44"/>
        <v>0</v>
      </c>
      <c r="J84" s="51">
        <f t="shared" si="44"/>
        <v>2000</v>
      </c>
      <c r="K84" s="51">
        <f t="shared" si="44"/>
        <v>0</v>
      </c>
      <c r="L84" s="51">
        <f t="shared" si="44"/>
        <v>2000</v>
      </c>
      <c r="M84" s="51">
        <f t="shared" si="44"/>
        <v>0</v>
      </c>
      <c r="N84" s="51">
        <f t="shared" si="44"/>
        <v>2000</v>
      </c>
      <c r="O84" s="51">
        <f t="shared" si="44"/>
        <v>0</v>
      </c>
      <c r="P84" s="51">
        <f t="shared" si="44"/>
        <v>2000</v>
      </c>
      <c r="Q84" s="56">
        <f t="shared" si="39"/>
        <v>8000</v>
      </c>
    </row>
    <row r="85" spans="2:17" ht="15" customHeight="1">
      <c r="B85" s="3" t="s">
        <v>95</v>
      </c>
      <c r="C85" s="3" t="s">
        <v>121</v>
      </c>
      <c r="D85" s="55"/>
      <c r="E85" s="51">
        <f t="shared" ref="E85:P85" si="45">+E27*$H13</f>
        <v>0</v>
      </c>
      <c r="F85" s="51">
        <f t="shared" si="45"/>
        <v>0</v>
      </c>
      <c r="G85" s="51">
        <f t="shared" si="45"/>
        <v>0</v>
      </c>
      <c r="H85" s="51">
        <f t="shared" si="45"/>
        <v>0</v>
      </c>
      <c r="I85" s="51">
        <f t="shared" si="45"/>
        <v>0</v>
      </c>
      <c r="J85" s="51">
        <f t="shared" si="45"/>
        <v>2400</v>
      </c>
      <c r="K85" s="51">
        <f t="shared" si="45"/>
        <v>0</v>
      </c>
      <c r="L85" s="51">
        <f t="shared" si="45"/>
        <v>2400</v>
      </c>
      <c r="M85" s="51">
        <f t="shared" si="45"/>
        <v>0</v>
      </c>
      <c r="N85" s="51">
        <f t="shared" si="45"/>
        <v>2400</v>
      </c>
      <c r="O85" s="51">
        <f t="shared" si="45"/>
        <v>0</v>
      </c>
      <c r="P85" s="51">
        <f t="shared" si="45"/>
        <v>2400</v>
      </c>
      <c r="Q85" s="56">
        <f t="shared" si="39"/>
        <v>9600</v>
      </c>
    </row>
    <row r="86" spans="2:17" ht="4.3" customHeight="1"/>
    <row r="87" spans="2:17" ht="15" customHeight="1">
      <c r="B87" s="43" t="s">
        <v>74</v>
      </c>
      <c r="C87" s="43"/>
      <c r="D87" s="56">
        <f>SUM(D78:D85)</f>
        <v>0</v>
      </c>
      <c r="E87" s="56">
        <f t="shared" ref="E87:Q87" si="46">SUM(E78:E85)</f>
        <v>0</v>
      </c>
      <c r="F87" s="56">
        <f t="shared" si="46"/>
        <v>0</v>
      </c>
      <c r="G87" s="56">
        <f t="shared" si="46"/>
        <v>5833.3333333333339</v>
      </c>
      <c r="H87" s="56">
        <f t="shared" si="46"/>
        <v>0</v>
      </c>
      <c r="I87" s="56">
        <f t="shared" si="46"/>
        <v>0</v>
      </c>
      <c r="J87" s="56">
        <f t="shared" si="46"/>
        <v>4400</v>
      </c>
      <c r="K87" s="56">
        <f t="shared" si="46"/>
        <v>5833.3333333333339</v>
      </c>
      <c r="L87" s="56">
        <f t="shared" si="46"/>
        <v>4400</v>
      </c>
      <c r="M87" s="56">
        <f t="shared" si="46"/>
        <v>0</v>
      </c>
      <c r="N87" s="56">
        <f t="shared" si="46"/>
        <v>10233.333333333334</v>
      </c>
      <c r="O87" s="56">
        <f t="shared" si="46"/>
        <v>0</v>
      </c>
      <c r="P87" s="56">
        <f t="shared" si="46"/>
        <v>4400</v>
      </c>
      <c r="Q87" s="56">
        <f t="shared" si="46"/>
        <v>35100</v>
      </c>
    </row>
    <row r="88" spans="2:17" ht="15" customHeight="1"/>
    <row r="89" spans="2:17" ht="15" customHeight="1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499984740745262"/>
  </sheetPr>
  <dimension ref="B3:T61"/>
  <sheetViews>
    <sheetView showGridLines="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T6" sqref="T6"/>
    </sheetView>
  </sheetViews>
  <sheetFormatPr defaultRowHeight="14.15"/>
  <cols>
    <col min="1" max="1" width="4.2109375" customWidth="1"/>
    <col min="2" max="2" width="12.5703125" customWidth="1"/>
    <col min="3" max="3" width="4.140625" customWidth="1"/>
    <col min="4" max="17" width="8.640625" customWidth="1"/>
    <col min="18" max="18" width="9.35546875" customWidth="1"/>
  </cols>
  <sheetData>
    <row r="3" spans="2:20" ht="18.45">
      <c r="B3" s="29" t="s">
        <v>124</v>
      </c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8"/>
    </row>
    <row r="4" spans="2:20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2:20" ht="25.75">
      <c r="B5" s="25" t="s">
        <v>113</v>
      </c>
      <c r="C5" s="25" t="s">
        <v>114</v>
      </c>
      <c r="D5" s="25" t="s">
        <v>117</v>
      </c>
      <c r="E5" s="25" t="s">
        <v>125</v>
      </c>
      <c r="F5" s="25" t="s">
        <v>126</v>
      </c>
      <c r="G5" s="25" t="s">
        <v>127</v>
      </c>
      <c r="H5" s="25" t="s">
        <v>266</v>
      </c>
      <c r="I5" s="25" t="s">
        <v>267</v>
      </c>
      <c r="J5" s="25" t="s">
        <v>128</v>
      </c>
      <c r="K5" s="25" t="s">
        <v>129</v>
      </c>
      <c r="L5" s="25" t="s">
        <v>130</v>
      </c>
      <c r="M5" s="25" t="s">
        <v>131</v>
      </c>
      <c r="N5" s="25" t="s">
        <v>132</v>
      </c>
      <c r="O5" s="25" t="s">
        <v>133</v>
      </c>
      <c r="P5" s="1"/>
      <c r="Q5" s="25" t="s">
        <v>128</v>
      </c>
      <c r="R5" s="25" t="s">
        <v>129</v>
      </c>
      <c r="S5" s="25" t="s">
        <v>130</v>
      </c>
      <c r="T5" s="25" t="s">
        <v>131</v>
      </c>
    </row>
    <row r="6" spans="2:20" ht="15" customHeight="1">
      <c r="B6" s="3" t="str">
        <f>'06_Red_CAPEX'!B6</f>
        <v>Flagship</v>
      </c>
      <c r="C6" s="3" t="str">
        <f>'06_Red_CAPEX'!C6</f>
        <v>CABA</v>
      </c>
      <c r="D6" s="11">
        <f>'06_Red_CAPEX'!G6</f>
        <v>11</v>
      </c>
      <c r="E6" s="9">
        <f>'06_Red_CAPEX'!D6*'06_Red_CAPEX'!I6</f>
        <v>5320</v>
      </c>
      <c r="F6" s="5">
        <v>0.39</v>
      </c>
      <c r="G6" s="9">
        <f t="shared" ref="G6:G13" si="0">E6*F6</f>
        <v>2074.8000000000002</v>
      </c>
      <c r="H6" s="9">
        <f>-E6*'08_Core_Financiero'!$AC$8</f>
        <v>55.859999999999978</v>
      </c>
      <c r="I6" s="9">
        <f>-E6*'08_Core_Financiero'!$AC$12</f>
        <v>76.841154849034766</v>
      </c>
      <c r="J6" s="9">
        <f t="shared" ref="J6:M13" si="1">+$E6*Q6</f>
        <v>691.6</v>
      </c>
      <c r="K6" s="9">
        <f t="shared" si="1"/>
        <v>186.20000000000002</v>
      </c>
      <c r="L6" s="9">
        <f t="shared" si="1"/>
        <v>345.8</v>
      </c>
      <c r="M6" s="9">
        <f t="shared" si="1"/>
        <v>145.22902148467983</v>
      </c>
      <c r="N6" s="9">
        <f>G6-J6-K6-L6-M6-H6-I6</f>
        <v>573.26982366628567</v>
      </c>
      <c r="O6" s="27">
        <f t="shared" ref="O6:O14" si="2">N6/E6</f>
        <v>0.10775748565155746</v>
      </c>
      <c r="P6" s="1"/>
      <c r="Q6" s="66">
        <v>0.13</v>
      </c>
      <c r="R6" s="66">
        <v>3.5000000000000003E-2</v>
      </c>
      <c r="S6" s="66">
        <v>6.5000000000000002E-2</v>
      </c>
      <c r="T6" s="66">
        <f>+'04_Digital_Logistica'!$P$13</f>
        <v>2.7298688248999968E-2</v>
      </c>
    </row>
    <row r="7" spans="2:20" ht="15" customHeight="1">
      <c r="B7" s="3" t="str">
        <f>'06_Red_CAPEX'!B7</f>
        <v>Flagship</v>
      </c>
      <c r="C7" s="3" t="str">
        <f>'06_Red_CAPEX'!C7</f>
        <v>GBA</v>
      </c>
      <c r="D7" s="11">
        <f>'06_Red_CAPEX'!G7</f>
        <v>6</v>
      </c>
      <c r="E7" s="9">
        <f>'06_Red_CAPEX'!D7*'06_Red_CAPEX'!I7</f>
        <v>6555</v>
      </c>
      <c r="F7" s="5">
        <v>0.35499999999999998</v>
      </c>
      <c r="G7" s="9">
        <f t="shared" si="0"/>
        <v>2327.0250000000001</v>
      </c>
      <c r="H7" s="9">
        <f>-E7*'08_Core_Financiero'!$AC$8</f>
        <v>68.827499999999972</v>
      </c>
      <c r="I7" s="9">
        <f>-E7*'08_Core_Financiero'!$AC$12</f>
        <v>94.6792800818464</v>
      </c>
      <c r="J7" s="9">
        <f t="shared" si="1"/>
        <v>786.6</v>
      </c>
      <c r="K7" s="9">
        <f t="shared" si="1"/>
        <v>163.875</v>
      </c>
      <c r="L7" s="9">
        <f t="shared" si="1"/>
        <v>360.52499999999998</v>
      </c>
      <c r="M7" s="9">
        <f t="shared" si="1"/>
        <v>178.94290147219479</v>
      </c>
      <c r="N7" s="9">
        <f t="shared" ref="N7:N13" si="3">G7-J7-K7-L7-M7-H7-I7</f>
        <v>673.57531844595906</v>
      </c>
      <c r="O7" s="27">
        <f t="shared" si="2"/>
        <v>0.10275748565155744</v>
      </c>
      <c r="P7" s="1"/>
      <c r="Q7" s="66">
        <v>0.12</v>
      </c>
      <c r="R7" s="66">
        <v>2.5000000000000001E-2</v>
      </c>
      <c r="S7" s="66">
        <v>5.5E-2</v>
      </c>
      <c r="T7" s="66">
        <f>+'04_Digital_Logistica'!$P$13</f>
        <v>2.7298688248999968E-2</v>
      </c>
    </row>
    <row r="8" spans="2:20" ht="15" customHeight="1">
      <c r="B8" s="3" t="str">
        <f>'06_Red_CAPEX'!B8</f>
        <v>Standard</v>
      </c>
      <c r="C8" s="3" t="str">
        <f>'06_Red_CAPEX'!C8</f>
        <v>CABA</v>
      </c>
      <c r="D8" s="11">
        <f>'06_Red_CAPEX'!G8</f>
        <v>20</v>
      </c>
      <c r="E8" s="9">
        <f>'06_Red_CAPEX'!D8*'06_Red_CAPEX'!I8</f>
        <v>2850</v>
      </c>
      <c r="F8" s="5">
        <v>0.35499999999999998</v>
      </c>
      <c r="G8" s="9">
        <f t="shared" si="0"/>
        <v>1011.75</v>
      </c>
      <c r="H8" s="9">
        <f>-E8*'08_Core_Financiero'!$AC$8</f>
        <v>29.924999999999986</v>
      </c>
      <c r="I8" s="9">
        <f>-E8*'08_Core_Financiero'!$AC$12</f>
        <v>41.164904383411482</v>
      </c>
      <c r="J8" s="9">
        <f t="shared" si="1"/>
        <v>413.25000000000006</v>
      </c>
      <c r="K8" s="9">
        <f t="shared" si="1"/>
        <v>128.25000000000003</v>
      </c>
      <c r="L8" s="9">
        <f t="shared" si="1"/>
        <v>213.75</v>
      </c>
      <c r="M8" s="9">
        <f t="shared" si="1"/>
        <v>77.801261509649905</v>
      </c>
      <c r="N8" s="9">
        <f t="shared" si="3"/>
        <v>107.60883410693862</v>
      </c>
      <c r="O8" s="27">
        <f t="shared" si="2"/>
        <v>3.7757485651557413E-2</v>
      </c>
      <c r="P8" s="1"/>
      <c r="Q8" s="66">
        <f>+Q6+0.015</f>
        <v>0.14500000000000002</v>
      </c>
      <c r="R8" s="66">
        <f t="shared" ref="R8:S11" si="4">+R6+0.01</f>
        <v>4.5000000000000005E-2</v>
      </c>
      <c r="S8" s="66">
        <f t="shared" si="4"/>
        <v>7.4999999999999997E-2</v>
      </c>
      <c r="T8" s="66">
        <f>+'04_Digital_Logistica'!$P$13</f>
        <v>2.7298688248999968E-2</v>
      </c>
    </row>
    <row r="9" spans="2:20" ht="15" customHeight="1">
      <c r="B9" s="3" t="str">
        <f>'06_Red_CAPEX'!B9</f>
        <v>Standard</v>
      </c>
      <c r="C9" s="3" t="str">
        <f>'06_Red_CAPEX'!C9</f>
        <v>GBA</v>
      </c>
      <c r="D9" s="11">
        <f>'06_Red_CAPEX'!G9</f>
        <v>32</v>
      </c>
      <c r="E9" s="9">
        <f>'06_Red_CAPEX'!D9*'06_Red_CAPEX'!I9</f>
        <v>7600</v>
      </c>
      <c r="F9" s="5">
        <v>0.32</v>
      </c>
      <c r="G9" s="9">
        <f t="shared" si="0"/>
        <v>2432</v>
      </c>
      <c r="H9" s="9">
        <f>-E9*'08_Core_Financiero'!$AC$8</f>
        <v>79.799999999999969</v>
      </c>
      <c r="I9" s="9">
        <f>-E9*'08_Core_Financiero'!$AC$12</f>
        <v>109.77307835576394</v>
      </c>
      <c r="J9" s="9">
        <f t="shared" si="1"/>
        <v>1026</v>
      </c>
      <c r="K9" s="9">
        <f t="shared" si="1"/>
        <v>266</v>
      </c>
      <c r="L9" s="9">
        <f t="shared" si="1"/>
        <v>494</v>
      </c>
      <c r="M9" s="9">
        <f t="shared" si="1"/>
        <v>207.47003069239975</v>
      </c>
      <c r="N9" s="9">
        <f t="shared" si="3"/>
        <v>248.95689095183636</v>
      </c>
      <c r="O9" s="27">
        <f t="shared" si="2"/>
        <v>3.2757485651557415E-2</v>
      </c>
      <c r="P9" s="1"/>
      <c r="Q9" s="66">
        <f>+Q7+0.015</f>
        <v>0.13500000000000001</v>
      </c>
      <c r="R9" s="66">
        <f t="shared" si="4"/>
        <v>3.5000000000000003E-2</v>
      </c>
      <c r="S9" s="66">
        <f t="shared" si="4"/>
        <v>6.5000000000000002E-2</v>
      </c>
      <c r="T9" s="66">
        <f>+'04_Digital_Logistica'!$P$13</f>
        <v>2.7298688248999968E-2</v>
      </c>
    </row>
    <row r="10" spans="2:20" ht="15" customHeight="1">
      <c r="B10" s="3" t="str">
        <f>'06_Red_CAPEX'!B10</f>
        <v>Proximidad</v>
      </c>
      <c r="C10" s="3" t="str">
        <f>'06_Red_CAPEX'!C10</f>
        <v>CABA</v>
      </c>
      <c r="D10" s="11">
        <f>'06_Red_CAPEX'!G10</f>
        <v>18</v>
      </c>
      <c r="E10" s="9">
        <f>'06_Red_CAPEX'!D10*'06_Red_CAPEX'!I10</f>
        <v>1282.5</v>
      </c>
      <c r="F10" s="5">
        <v>0.34</v>
      </c>
      <c r="G10" s="9">
        <f t="shared" si="0"/>
        <v>436.05</v>
      </c>
      <c r="H10" s="9">
        <f>-E10*'08_Core_Financiero'!$AC$8</f>
        <v>13.466249999999993</v>
      </c>
      <c r="I10" s="9">
        <f>-E10*'08_Core_Financiero'!$AC$12</f>
        <v>18.524206972535165</v>
      </c>
      <c r="J10" s="9">
        <f t="shared" si="1"/>
        <v>205.20000000000005</v>
      </c>
      <c r="K10" s="9">
        <f t="shared" si="1"/>
        <v>70.537500000000009</v>
      </c>
      <c r="L10" s="9">
        <f t="shared" si="1"/>
        <v>109.01249999999999</v>
      </c>
      <c r="M10" s="9">
        <f t="shared" si="1"/>
        <v>35.010567679342458</v>
      </c>
      <c r="N10" s="9">
        <f t="shared" si="3"/>
        <v>-15.701024651877661</v>
      </c>
      <c r="O10" s="27">
        <f t="shared" si="2"/>
        <v>-1.2242514348442621E-2</v>
      </c>
      <c r="P10" s="1"/>
      <c r="Q10" s="66">
        <f>+Q8+0.015</f>
        <v>0.16000000000000003</v>
      </c>
      <c r="R10" s="66">
        <f t="shared" si="4"/>
        <v>5.5000000000000007E-2</v>
      </c>
      <c r="S10" s="66">
        <f t="shared" si="4"/>
        <v>8.4999999999999992E-2</v>
      </c>
      <c r="T10" s="66">
        <f>+'04_Digital_Logistica'!$P$13</f>
        <v>2.7298688248999968E-2</v>
      </c>
    </row>
    <row r="11" spans="2:20" ht="15" customHeight="1">
      <c r="B11" s="3" t="str">
        <f>'06_Red_CAPEX'!B11</f>
        <v>Proximidad</v>
      </c>
      <c r="C11" s="3" t="str">
        <f>'06_Red_CAPEX'!C11</f>
        <v>GBA</v>
      </c>
      <c r="D11" s="11">
        <f>'06_Red_CAPEX'!G11</f>
        <v>21</v>
      </c>
      <c r="E11" s="9">
        <f>'06_Red_CAPEX'!D11*'06_Red_CAPEX'!I11</f>
        <v>3800</v>
      </c>
      <c r="F11" s="5">
        <v>0.29499999999999998</v>
      </c>
      <c r="G11" s="9">
        <f t="shared" si="0"/>
        <v>1121</v>
      </c>
      <c r="H11" s="9">
        <f>-E11*'08_Core_Financiero'!$AC$8</f>
        <v>39.899999999999984</v>
      </c>
      <c r="I11" s="9">
        <f>-E11*'08_Core_Financiero'!$AC$12</f>
        <v>54.886539177881971</v>
      </c>
      <c r="J11" s="9">
        <f t="shared" si="1"/>
        <v>570.00000000000011</v>
      </c>
      <c r="K11" s="9">
        <f t="shared" si="1"/>
        <v>171.00000000000003</v>
      </c>
      <c r="L11" s="9">
        <f t="shared" si="1"/>
        <v>285</v>
      </c>
      <c r="M11" s="9">
        <f t="shared" si="1"/>
        <v>103.73501534619987</v>
      </c>
      <c r="N11" s="9">
        <f t="shared" si="3"/>
        <v>-103.52155452408195</v>
      </c>
      <c r="O11" s="27">
        <f t="shared" si="2"/>
        <v>-2.7242514348442617E-2</v>
      </c>
      <c r="P11" s="1"/>
      <c r="Q11" s="66">
        <f>+Q9+0.015</f>
        <v>0.15000000000000002</v>
      </c>
      <c r="R11" s="66">
        <f t="shared" si="4"/>
        <v>4.5000000000000005E-2</v>
      </c>
      <c r="S11" s="66">
        <f t="shared" si="4"/>
        <v>7.4999999999999997E-2</v>
      </c>
      <c r="T11" s="66">
        <f>+'04_Digital_Logistica'!$P$13</f>
        <v>2.7298688248999968E-2</v>
      </c>
    </row>
    <row r="12" spans="2:20" ht="15" customHeight="1">
      <c r="B12" s="3" t="str">
        <f>'06_Red_CAPEX'!B12</f>
        <v>Hub/Dark Store</v>
      </c>
      <c r="C12" s="3" t="str">
        <f>'06_Red_CAPEX'!C12</f>
        <v>CABA</v>
      </c>
      <c r="D12" s="11">
        <f>'06_Red_CAPEX'!G12</f>
        <v>5</v>
      </c>
      <c r="E12" s="9">
        <f>'06_Red_CAPEX'!D12*'06_Red_CAPEX'!I12</f>
        <v>237.5</v>
      </c>
      <c r="F12" s="5">
        <v>0.32</v>
      </c>
      <c r="G12" s="9">
        <f t="shared" si="0"/>
        <v>76</v>
      </c>
      <c r="H12" s="9">
        <f>-E12*'08_Core_Financiero'!$AC$8</f>
        <v>2.493749999999999</v>
      </c>
      <c r="I12" s="9">
        <f>-E12*'08_Core_Financiero'!$AC$12</f>
        <v>3.4304086986176232</v>
      </c>
      <c r="J12" s="9">
        <f t="shared" si="1"/>
        <v>23.75</v>
      </c>
      <c r="K12" s="9">
        <f t="shared" si="1"/>
        <v>4.75</v>
      </c>
      <c r="L12" s="9">
        <f t="shared" si="1"/>
        <v>9.5</v>
      </c>
      <c r="M12" s="9">
        <f t="shared" si="1"/>
        <v>20.1875</v>
      </c>
      <c r="N12" s="9">
        <f t="shared" si="3"/>
        <v>11.888341301382379</v>
      </c>
      <c r="O12" s="27">
        <f t="shared" si="2"/>
        <v>5.0056173900557388E-2</v>
      </c>
      <c r="P12" s="1"/>
      <c r="Q12" s="66">
        <v>0.1</v>
      </c>
      <c r="R12" s="66">
        <v>0.02</v>
      </c>
      <c r="S12" s="66">
        <v>0.04</v>
      </c>
      <c r="T12" s="66">
        <f>+'04_Digital_Logistica'!$P$10</f>
        <v>8.5000000000000006E-2</v>
      </c>
    </row>
    <row r="13" spans="2:20" ht="15" customHeight="1">
      <c r="B13" s="3" t="str">
        <f>'06_Red_CAPEX'!B13</f>
        <v>Hub/Dark Store</v>
      </c>
      <c r="C13" s="3" t="str">
        <f>'06_Red_CAPEX'!C13</f>
        <v>GBA</v>
      </c>
      <c r="D13" s="11">
        <f>'06_Red_CAPEX'!G13</f>
        <v>7</v>
      </c>
      <c r="E13" s="9">
        <f>'06_Red_CAPEX'!D13*'06_Red_CAPEX'!I13</f>
        <v>855</v>
      </c>
      <c r="F13" s="5">
        <v>0.31</v>
      </c>
      <c r="G13" s="9">
        <f t="shared" si="0"/>
        <v>265.05</v>
      </c>
      <c r="H13" s="9">
        <f>-E13*'08_Core_Financiero'!$AC$8</f>
        <v>8.9774999999999956</v>
      </c>
      <c r="I13" s="9">
        <f>-E13*'08_Core_Financiero'!$AC$12</f>
        <v>12.349471315023443</v>
      </c>
      <c r="J13" s="9">
        <f t="shared" si="1"/>
        <v>85.5</v>
      </c>
      <c r="K13" s="9">
        <f t="shared" si="1"/>
        <v>17.100000000000001</v>
      </c>
      <c r="L13" s="9">
        <f t="shared" si="1"/>
        <v>25.65</v>
      </c>
      <c r="M13" s="9">
        <f t="shared" si="1"/>
        <v>72.675000000000011</v>
      </c>
      <c r="N13" s="9">
        <f t="shared" si="3"/>
        <v>42.798028684976565</v>
      </c>
      <c r="O13" s="27">
        <f t="shared" si="2"/>
        <v>5.0056173900557388E-2</v>
      </c>
      <c r="P13" s="1"/>
      <c r="Q13" s="66">
        <v>0.1</v>
      </c>
      <c r="R13" s="66">
        <v>0.02</v>
      </c>
      <c r="S13" s="66">
        <v>0.03</v>
      </c>
      <c r="T13" s="66">
        <f>+'04_Digital_Logistica'!$P$10</f>
        <v>8.5000000000000006E-2</v>
      </c>
    </row>
    <row r="14" spans="2:20" s="81" customFormat="1" ht="15" customHeight="1">
      <c r="B14" s="75" t="s">
        <v>74</v>
      </c>
      <c r="C14" s="75"/>
      <c r="D14" s="76">
        <f>SUM(D6:D13)</f>
        <v>120</v>
      </c>
      <c r="E14" s="77">
        <f>SUM(E6:E13)</f>
        <v>28500</v>
      </c>
      <c r="F14" s="78">
        <f>SUMPRODUCT(F6:F13,E6:E13)/SUM(E6:E13)</f>
        <v>0.34188333333333332</v>
      </c>
      <c r="G14" s="77">
        <f>SUM(G6:G13)</f>
        <v>9743.6749999999993</v>
      </c>
      <c r="H14" s="77">
        <f t="shared" ref="H14:I14" si="5">SUM(H6:H13)</f>
        <v>299.24999999999989</v>
      </c>
      <c r="I14" s="77">
        <f t="shared" si="5"/>
        <v>411.64904383411476</v>
      </c>
      <c r="J14" s="77">
        <f>SUM(J6:J13)</f>
        <v>3801.8999999999996</v>
      </c>
      <c r="K14" s="77">
        <f>SUM(K6:K13)</f>
        <v>1007.7125000000001</v>
      </c>
      <c r="L14" s="77">
        <f>SUM(L6:L13)</f>
        <v>1843.2375000000002</v>
      </c>
      <c r="M14" s="77">
        <f>SUM(M6:M13)</f>
        <v>841.05129818446653</v>
      </c>
      <c r="N14" s="77">
        <f>SUM(N6:N13)</f>
        <v>1538.8746579814192</v>
      </c>
      <c r="O14" s="78">
        <f t="shared" si="2"/>
        <v>5.3995602034435763E-2</v>
      </c>
      <c r="P14" s="79"/>
      <c r="Q14" s="80">
        <f>SUMPRODUCT(Q6:Q13,$E$6:$E$13)/$E$14</f>
        <v>0.13339999999999999</v>
      </c>
      <c r="R14" s="80">
        <f>SUMPRODUCT(R6:R13,$E$6:$E$13)/$E$14</f>
        <v>3.5358333333333339E-2</v>
      </c>
      <c r="S14" s="80">
        <f>SUMPRODUCT(S6:S13,$E$6:$E$13)/$E$14</f>
        <v>6.467500000000001E-2</v>
      </c>
      <c r="T14" s="80">
        <f>SUMPRODUCT(T6:T13,$E$6:$E$13)/$E$14</f>
        <v>2.9510571866121632E-2</v>
      </c>
    </row>
    <row r="15" spans="2:20" ht="15" customHeight="1">
      <c r="B15" s="1"/>
      <c r="C15" s="1"/>
      <c r="D15" s="1"/>
      <c r="E15" s="1"/>
      <c r="F15" s="15">
        <f>+'02_Pricing'!Q18</f>
        <v>0</v>
      </c>
      <c r="G15" s="15">
        <f>+G14/$E$14</f>
        <v>0.34188333333333332</v>
      </c>
      <c r="H15" s="15">
        <f t="shared" ref="H15" si="6">+H14/$E$14</f>
        <v>1.0499999999999995E-2</v>
      </c>
      <c r="I15" s="15">
        <f t="shared" ref="I15" si="7">+I14/$E$14</f>
        <v>1.4443826099442622E-2</v>
      </c>
      <c r="J15" s="15">
        <f t="shared" ref="J15:N15" si="8">+J14/$E$14</f>
        <v>0.13339999999999999</v>
      </c>
      <c r="K15" s="15">
        <f>+K14/$E$14</f>
        <v>3.5358333333333339E-2</v>
      </c>
      <c r="L15" s="15">
        <f t="shared" si="8"/>
        <v>6.467500000000001E-2</v>
      </c>
      <c r="M15" s="15">
        <f t="shared" si="8"/>
        <v>2.9510571866121632E-2</v>
      </c>
      <c r="N15" s="15">
        <f t="shared" si="8"/>
        <v>5.3995602034435763E-2</v>
      </c>
      <c r="O15" s="1"/>
      <c r="P15" s="1"/>
    </row>
    <row r="16" spans="2:20" ht="15" customHeight="1">
      <c r="B16" s="18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2:17">
      <c r="B17" s="15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2:17" ht="15.9">
      <c r="B18" s="68" t="s">
        <v>264</v>
      </c>
      <c r="C18" s="1"/>
      <c r="D18" s="2" t="s">
        <v>38</v>
      </c>
      <c r="E18" s="2" t="s">
        <v>9</v>
      </c>
      <c r="F18" s="2" t="s">
        <v>39</v>
      </c>
      <c r="G18" s="2" t="s">
        <v>40</v>
      </c>
      <c r="H18" s="2" t="s">
        <v>41</v>
      </c>
      <c r="I18" s="2" t="s">
        <v>42</v>
      </c>
      <c r="J18" s="2" t="s">
        <v>43</v>
      </c>
      <c r="K18" s="2" t="s">
        <v>44</v>
      </c>
      <c r="L18" s="2" t="s">
        <v>45</v>
      </c>
      <c r="M18" s="2" t="s">
        <v>46</v>
      </c>
      <c r="N18" s="2" t="s">
        <v>47</v>
      </c>
      <c r="O18" s="2" t="s">
        <v>48</v>
      </c>
      <c r="P18" s="2" t="s">
        <v>49</v>
      </c>
      <c r="Q18" s="2" t="s">
        <v>136</v>
      </c>
    </row>
    <row r="19" spans="2:17">
      <c r="B19" s="3" t="str">
        <f>'06_Red_CAPEX'!B20</f>
        <v>Flagship</v>
      </c>
      <c r="C19" s="1"/>
      <c r="D19" s="38">
        <f>+E6</f>
        <v>5320</v>
      </c>
      <c r="E19" s="38">
        <f>+$D19+'06_Red_CAPEX'!E34+'06_Red_CAPEX'!E62</f>
        <v>5320</v>
      </c>
      <c r="F19" s="38">
        <f>+$D19+'06_Red_CAPEX'!F34+'06_Red_CAPEX'!F62</f>
        <v>5320</v>
      </c>
      <c r="G19" s="38">
        <f>+$D19+'06_Red_CAPEX'!G34+'06_Red_CAPEX'!G62</f>
        <v>5985</v>
      </c>
      <c r="H19" s="38">
        <f>+$D19+'06_Red_CAPEX'!H34+'06_Red_CAPEX'!H62</f>
        <v>5985</v>
      </c>
      <c r="I19" s="38">
        <f>+$D19+'06_Red_CAPEX'!I34+'06_Red_CAPEX'!I62</f>
        <v>5985</v>
      </c>
      <c r="J19" s="38">
        <f>+$D19+'06_Red_CAPEX'!J34+'06_Red_CAPEX'!J62</f>
        <v>5985</v>
      </c>
      <c r="K19" s="38">
        <f>+$D19+'06_Red_CAPEX'!K34+'06_Red_CAPEX'!K62</f>
        <v>6650</v>
      </c>
      <c r="L19" s="38">
        <f>+$D19+'06_Red_CAPEX'!L34+'06_Red_CAPEX'!L62</f>
        <v>6650</v>
      </c>
      <c r="M19" s="38">
        <f>+$D19+'06_Red_CAPEX'!M34+'06_Red_CAPEX'!M62</f>
        <v>6650</v>
      </c>
      <c r="N19" s="38">
        <f>+$D19+'06_Red_CAPEX'!N34+'06_Red_CAPEX'!N62</f>
        <v>7315</v>
      </c>
      <c r="O19" s="38">
        <f>+$D19+'06_Red_CAPEX'!O34+'06_Red_CAPEX'!O62</f>
        <v>7315</v>
      </c>
      <c r="P19" s="38">
        <f>+$D19+'06_Red_CAPEX'!P34+'06_Red_CAPEX'!P62</f>
        <v>7315</v>
      </c>
      <c r="Q19" s="73">
        <f>SUM(E19:P19)</f>
        <v>76475</v>
      </c>
    </row>
    <row r="20" spans="2:17">
      <c r="B20" s="3" t="str">
        <f>'06_Red_CAPEX'!B21</f>
        <v>Flagship</v>
      </c>
      <c r="C20" s="1"/>
      <c r="D20" s="38">
        <f t="shared" ref="D20:D26" si="9">+E7</f>
        <v>6555</v>
      </c>
      <c r="E20" s="38">
        <f>+$D20+'06_Red_CAPEX'!E35+'06_Red_CAPEX'!E63</f>
        <v>6555</v>
      </c>
      <c r="F20" s="38">
        <f>+$D20+'06_Red_CAPEX'!F35+'06_Red_CAPEX'!F63</f>
        <v>6555</v>
      </c>
      <c r="G20" s="38">
        <f>+$D20+'06_Red_CAPEX'!G35+'06_Red_CAPEX'!G63</f>
        <v>6555</v>
      </c>
      <c r="H20" s="38">
        <f>+$D20+'06_Red_CAPEX'!H35+'06_Red_CAPEX'!H63</f>
        <v>6555</v>
      </c>
      <c r="I20" s="38">
        <f>+$D20+'06_Red_CAPEX'!I35+'06_Red_CAPEX'!I63</f>
        <v>6555</v>
      </c>
      <c r="J20" s="38">
        <f>+$D20+'06_Red_CAPEX'!J35+'06_Red_CAPEX'!J63</f>
        <v>6555</v>
      </c>
      <c r="K20" s="38">
        <f>+$D20+'06_Red_CAPEX'!K35+'06_Red_CAPEX'!K63</f>
        <v>6555</v>
      </c>
      <c r="L20" s="38">
        <f>+$D20+'06_Red_CAPEX'!L35+'06_Red_CAPEX'!L63</f>
        <v>6555</v>
      </c>
      <c r="M20" s="38">
        <f>+$D20+'06_Red_CAPEX'!M35+'06_Red_CAPEX'!M63</f>
        <v>6555</v>
      </c>
      <c r="N20" s="38">
        <f>+$D20+'06_Red_CAPEX'!N35+'06_Red_CAPEX'!N63</f>
        <v>6555</v>
      </c>
      <c r="O20" s="38">
        <f>+$D20+'06_Red_CAPEX'!O35+'06_Red_CAPEX'!O63</f>
        <v>6555</v>
      </c>
      <c r="P20" s="38">
        <f>+$D20+'06_Red_CAPEX'!P35+'06_Red_CAPEX'!P63</f>
        <v>6555</v>
      </c>
      <c r="Q20" s="73">
        <f t="shared" ref="Q20:Q26" si="10">SUM(E20:P20)</f>
        <v>78660</v>
      </c>
    </row>
    <row r="21" spans="2:17">
      <c r="B21" s="3" t="str">
        <f>'06_Red_CAPEX'!B22</f>
        <v>Standard</v>
      </c>
      <c r="C21" s="1"/>
      <c r="D21" s="38">
        <f t="shared" si="9"/>
        <v>2850</v>
      </c>
      <c r="E21" s="38">
        <f>+$D21+'06_Red_CAPEX'!E36+'06_Red_CAPEX'!E64</f>
        <v>2850</v>
      </c>
      <c r="F21" s="38">
        <f>+$D21+'06_Red_CAPEX'!F36+'06_Red_CAPEX'!F64</f>
        <v>2850</v>
      </c>
      <c r="G21" s="38">
        <f>+$D21+'06_Red_CAPEX'!G36+'06_Red_CAPEX'!G64</f>
        <v>2850</v>
      </c>
      <c r="H21" s="38">
        <f>+$D21+'06_Red_CAPEX'!H36+'06_Red_CAPEX'!H64</f>
        <v>2850</v>
      </c>
      <c r="I21" s="38">
        <f>+$D21+'06_Red_CAPEX'!I36+'06_Red_CAPEX'!I64</f>
        <v>2850</v>
      </c>
      <c r="J21" s="38">
        <f>+$D21+'06_Red_CAPEX'!J36+'06_Red_CAPEX'!J64</f>
        <v>2850</v>
      </c>
      <c r="K21" s="38">
        <f>+$D21+'06_Red_CAPEX'!K36+'06_Red_CAPEX'!K64</f>
        <v>2850</v>
      </c>
      <c r="L21" s="38">
        <f>+$D21+'06_Red_CAPEX'!L36+'06_Red_CAPEX'!L64</f>
        <v>2850</v>
      </c>
      <c r="M21" s="38">
        <f>+$D21+'06_Red_CAPEX'!M36+'06_Red_CAPEX'!M64</f>
        <v>2850</v>
      </c>
      <c r="N21" s="38">
        <f>+$D21+'06_Red_CAPEX'!N36+'06_Red_CAPEX'!N64</f>
        <v>2850</v>
      </c>
      <c r="O21" s="38">
        <f>+$D21+'06_Red_CAPEX'!O36+'06_Red_CAPEX'!O64</f>
        <v>2850</v>
      </c>
      <c r="P21" s="38">
        <f>+$D21+'06_Red_CAPEX'!P36+'06_Red_CAPEX'!P64</f>
        <v>2850</v>
      </c>
      <c r="Q21" s="73">
        <f t="shared" si="10"/>
        <v>34200</v>
      </c>
    </row>
    <row r="22" spans="2:17">
      <c r="B22" s="3" t="str">
        <f>'06_Red_CAPEX'!B23</f>
        <v>Standard</v>
      </c>
      <c r="C22" s="1"/>
      <c r="D22" s="38">
        <f t="shared" si="9"/>
        <v>7600</v>
      </c>
      <c r="E22" s="38">
        <f>+$D22+'06_Red_CAPEX'!E37+'06_Red_CAPEX'!E65</f>
        <v>7600</v>
      </c>
      <c r="F22" s="38">
        <f>+$D22+'06_Red_CAPEX'!F37+'06_Red_CAPEX'!F65</f>
        <v>7600</v>
      </c>
      <c r="G22" s="38">
        <f>+$D22+'06_Red_CAPEX'!G37+'06_Red_CAPEX'!G65</f>
        <v>7600</v>
      </c>
      <c r="H22" s="38">
        <f>+$D22+'06_Red_CAPEX'!H37+'06_Red_CAPEX'!H65</f>
        <v>7600</v>
      </c>
      <c r="I22" s="38">
        <f>+$D22+'06_Red_CAPEX'!I37+'06_Red_CAPEX'!I65</f>
        <v>7600</v>
      </c>
      <c r="J22" s="38">
        <f>+$D22+'06_Red_CAPEX'!J37+'06_Red_CAPEX'!J65</f>
        <v>7600</v>
      </c>
      <c r="K22" s="38">
        <f>+$D22+'06_Red_CAPEX'!K37+'06_Red_CAPEX'!K65</f>
        <v>7600</v>
      </c>
      <c r="L22" s="38">
        <f>+$D22+'06_Red_CAPEX'!L37+'06_Red_CAPEX'!L65</f>
        <v>7600</v>
      </c>
      <c r="M22" s="38">
        <f>+$D22+'06_Red_CAPEX'!M37+'06_Red_CAPEX'!M65</f>
        <v>7600</v>
      </c>
      <c r="N22" s="38">
        <f>+$D22+'06_Red_CAPEX'!N37+'06_Red_CAPEX'!N65</f>
        <v>7600</v>
      </c>
      <c r="O22" s="38">
        <f>+$D22+'06_Red_CAPEX'!O37+'06_Red_CAPEX'!O65</f>
        <v>7600</v>
      </c>
      <c r="P22" s="38">
        <f>+$D22+'06_Red_CAPEX'!P37+'06_Red_CAPEX'!P65</f>
        <v>7600</v>
      </c>
      <c r="Q22" s="73">
        <f t="shared" si="10"/>
        <v>91200</v>
      </c>
    </row>
    <row r="23" spans="2:17">
      <c r="B23" s="3" t="str">
        <f>'06_Red_CAPEX'!B24</f>
        <v>Proximidad</v>
      </c>
      <c r="C23" s="1"/>
      <c r="D23" s="38">
        <f t="shared" si="9"/>
        <v>1282.5</v>
      </c>
      <c r="E23" s="38">
        <f>+$D23+'06_Red_CAPEX'!E38+'06_Red_CAPEX'!E66</f>
        <v>1282.5</v>
      </c>
      <c r="F23" s="38">
        <f>+$D23+'06_Red_CAPEX'!F38+'06_Red_CAPEX'!F66</f>
        <v>1282.5</v>
      </c>
      <c r="G23" s="38">
        <f>+$D23+'06_Red_CAPEX'!G38+'06_Red_CAPEX'!G66</f>
        <v>1282.5</v>
      </c>
      <c r="H23" s="38">
        <f>+$D23+'06_Red_CAPEX'!H38+'06_Red_CAPEX'!H66</f>
        <v>1282.5</v>
      </c>
      <c r="I23" s="38">
        <f>+$D23+'06_Red_CAPEX'!I38+'06_Red_CAPEX'!I66</f>
        <v>1282.5</v>
      </c>
      <c r="J23" s="38">
        <f>+$D23+'06_Red_CAPEX'!J38+'06_Red_CAPEX'!J66</f>
        <v>1282.5</v>
      </c>
      <c r="K23" s="38">
        <f>+$D23+'06_Red_CAPEX'!K38+'06_Red_CAPEX'!K66</f>
        <v>1282.5</v>
      </c>
      <c r="L23" s="38">
        <f>+$D23+'06_Red_CAPEX'!L38+'06_Red_CAPEX'!L66</f>
        <v>1282.5</v>
      </c>
      <c r="M23" s="38">
        <f>+$D23+'06_Red_CAPEX'!M38+'06_Red_CAPEX'!M66</f>
        <v>1282.5</v>
      </c>
      <c r="N23" s="38">
        <f>+$D23+'06_Red_CAPEX'!N38+'06_Red_CAPEX'!N66</f>
        <v>1282.5</v>
      </c>
      <c r="O23" s="38">
        <f>+$D23+'06_Red_CAPEX'!O38+'06_Red_CAPEX'!O66</f>
        <v>1282.5</v>
      </c>
      <c r="P23" s="38">
        <f>+$D23+'06_Red_CAPEX'!P38+'06_Red_CAPEX'!P66</f>
        <v>1282.5</v>
      </c>
      <c r="Q23" s="73">
        <f t="shared" si="10"/>
        <v>15390</v>
      </c>
    </row>
    <row r="24" spans="2:17">
      <c r="B24" s="3" t="str">
        <f>'06_Red_CAPEX'!B25</f>
        <v>Proximidad</v>
      </c>
      <c r="C24" s="1"/>
      <c r="D24" s="38">
        <f t="shared" si="9"/>
        <v>3800</v>
      </c>
      <c r="E24" s="38">
        <f>+$D24+'06_Red_CAPEX'!E39+'06_Red_CAPEX'!E67</f>
        <v>3800</v>
      </c>
      <c r="F24" s="38">
        <f>+$D24+'06_Red_CAPEX'!F39+'06_Red_CAPEX'!F67</f>
        <v>3800</v>
      </c>
      <c r="G24" s="38">
        <f>+$D24+'06_Red_CAPEX'!G39+'06_Red_CAPEX'!G67</f>
        <v>3681.25</v>
      </c>
      <c r="H24" s="38">
        <f>+$D24+'06_Red_CAPEX'!H39+'06_Red_CAPEX'!H67</f>
        <v>3443.75</v>
      </c>
      <c r="I24" s="38">
        <f>+$D24+'06_Red_CAPEX'!I39+'06_Red_CAPEX'!I67</f>
        <v>3206.25</v>
      </c>
      <c r="J24" s="38">
        <f>+$D24+'06_Red_CAPEX'!J39+'06_Red_CAPEX'!J67</f>
        <v>2968.75</v>
      </c>
      <c r="K24" s="38">
        <f>+$D24+'06_Red_CAPEX'!K39+'06_Red_CAPEX'!K67</f>
        <v>2731.25</v>
      </c>
      <c r="L24" s="38">
        <f>+$D24+'06_Red_CAPEX'!L39+'06_Red_CAPEX'!L67</f>
        <v>2493.75</v>
      </c>
      <c r="M24" s="38">
        <f>+$D24+'06_Red_CAPEX'!M39+'06_Red_CAPEX'!M67</f>
        <v>2493.75</v>
      </c>
      <c r="N24" s="38">
        <f>+$D24+'06_Red_CAPEX'!N39+'06_Red_CAPEX'!N67</f>
        <v>2493.75</v>
      </c>
      <c r="O24" s="38">
        <f>+$D24+'06_Red_CAPEX'!O39+'06_Red_CAPEX'!O67</f>
        <v>2493.75</v>
      </c>
      <c r="P24" s="38">
        <f>+$D24+'06_Red_CAPEX'!P39+'06_Red_CAPEX'!P67</f>
        <v>2493.75</v>
      </c>
      <c r="Q24" s="73">
        <f t="shared" si="10"/>
        <v>36100</v>
      </c>
    </row>
    <row r="25" spans="2:17">
      <c r="B25" s="3" t="str">
        <f>'06_Red_CAPEX'!B26</f>
        <v>Hub/Dark Store</v>
      </c>
      <c r="C25" s="1"/>
      <c r="D25" s="38">
        <f t="shared" si="9"/>
        <v>237.5</v>
      </c>
      <c r="E25" s="38">
        <f>+$D25+'06_Red_CAPEX'!E40+'06_Red_CAPEX'!E68</f>
        <v>237.5</v>
      </c>
      <c r="F25" s="38">
        <f>+$D25+'06_Red_CAPEX'!F40+'06_Red_CAPEX'!F68</f>
        <v>237.5</v>
      </c>
      <c r="G25" s="38">
        <f>+$D25+'06_Red_CAPEX'!G40+'06_Red_CAPEX'!G68</f>
        <v>237.5</v>
      </c>
      <c r="H25" s="38">
        <f>+$D25+'06_Red_CAPEX'!H40+'06_Red_CAPEX'!H68</f>
        <v>237.5</v>
      </c>
      <c r="I25" s="38">
        <f>+$D25+'06_Red_CAPEX'!I40+'06_Red_CAPEX'!I68</f>
        <v>237.5</v>
      </c>
      <c r="J25" s="38">
        <f>+$D25+'06_Red_CAPEX'!J40+'06_Red_CAPEX'!J68</f>
        <v>475</v>
      </c>
      <c r="K25" s="38">
        <f>+$D25+'06_Red_CAPEX'!K40+'06_Red_CAPEX'!K68</f>
        <v>475</v>
      </c>
      <c r="L25" s="38">
        <f>+$D25+'06_Red_CAPEX'!L40+'06_Red_CAPEX'!L68</f>
        <v>712.5</v>
      </c>
      <c r="M25" s="38">
        <f>+$D25+'06_Red_CAPEX'!M40+'06_Red_CAPEX'!M68</f>
        <v>712.5</v>
      </c>
      <c r="N25" s="38">
        <f>+$D25+'06_Red_CAPEX'!N40+'06_Red_CAPEX'!N68</f>
        <v>950</v>
      </c>
      <c r="O25" s="38">
        <f>+$D25+'06_Red_CAPEX'!O40+'06_Red_CAPEX'!O68</f>
        <v>950</v>
      </c>
      <c r="P25" s="38">
        <f>+$D25+'06_Red_CAPEX'!P40+'06_Red_CAPEX'!P68</f>
        <v>1187.5</v>
      </c>
      <c r="Q25" s="73">
        <f t="shared" si="10"/>
        <v>6650</v>
      </c>
    </row>
    <row r="26" spans="2:17">
      <c r="B26" s="3" t="str">
        <f>'06_Red_CAPEX'!B27</f>
        <v>Hub/Dark Store</v>
      </c>
      <c r="C26" s="1"/>
      <c r="D26" s="38">
        <f t="shared" si="9"/>
        <v>855</v>
      </c>
      <c r="E26" s="38">
        <f>+$D26+'06_Red_CAPEX'!E41+'06_Red_CAPEX'!E69</f>
        <v>855</v>
      </c>
      <c r="F26" s="38">
        <f>+$D26+'06_Red_CAPEX'!F41+'06_Red_CAPEX'!F69</f>
        <v>855</v>
      </c>
      <c r="G26" s="38">
        <f>+$D26+'06_Red_CAPEX'!G41+'06_Red_CAPEX'!G69</f>
        <v>855</v>
      </c>
      <c r="H26" s="38">
        <f>+$D26+'06_Red_CAPEX'!H41+'06_Red_CAPEX'!H69</f>
        <v>855</v>
      </c>
      <c r="I26" s="38">
        <f>+$D26+'06_Red_CAPEX'!I41+'06_Red_CAPEX'!I69</f>
        <v>855</v>
      </c>
      <c r="J26" s="38">
        <f>+$D26+'06_Red_CAPEX'!J41+'06_Red_CAPEX'!J69</f>
        <v>1140</v>
      </c>
      <c r="K26" s="38">
        <f>+$D26+'06_Red_CAPEX'!K41+'06_Red_CAPEX'!K69</f>
        <v>1140</v>
      </c>
      <c r="L26" s="38">
        <f>+$D26+'06_Red_CAPEX'!L41+'06_Red_CAPEX'!L69</f>
        <v>1425</v>
      </c>
      <c r="M26" s="38">
        <f>+$D26+'06_Red_CAPEX'!M41+'06_Red_CAPEX'!M69</f>
        <v>1425</v>
      </c>
      <c r="N26" s="38">
        <f>+$D26+'06_Red_CAPEX'!N41+'06_Red_CAPEX'!N69</f>
        <v>1710</v>
      </c>
      <c r="O26" s="38">
        <f>+$D26+'06_Red_CAPEX'!O41+'06_Red_CAPEX'!O69</f>
        <v>1710</v>
      </c>
      <c r="P26" s="38">
        <f>+$D26+'06_Red_CAPEX'!P41+'06_Red_CAPEX'!P69</f>
        <v>1995</v>
      </c>
      <c r="Q26" s="73">
        <f t="shared" si="10"/>
        <v>14820</v>
      </c>
    </row>
    <row r="27" spans="2:17">
      <c r="B27" s="45" t="s">
        <v>136</v>
      </c>
      <c r="C27" s="1"/>
      <c r="D27" s="76">
        <f>SUM(D18:D26)</f>
        <v>28500</v>
      </c>
      <c r="E27" s="76">
        <f t="shared" ref="E27:P27" si="11">SUM(E18:E26)</f>
        <v>28500</v>
      </c>
      <c r="F27" s="76">
        <f t="shared" si="11"/>
        <v>28500</v>
      </c>
      <c r="G27" s="76">
        <f t="shared" si="11"/>
        <v>29046.25</v>
      </c>
      <c r="H27" s="76">
        <f t="shared" si="11"/>
        <v>28808.75</v>
      </c>
      <c r="I27" s="76">
        <f t="shared" si="11"/>
        <v>28571.25</v>
      </c>
      <c r="J27" s="76">
        <f t="shared" si="11"/>
        <v>28856.25</v>
      </c>
      <c r="K27" s="76">
        <f t="shared" si="11"/>
        <v>29283.75</v>
      </c>
      <c r="L27" s="76">
        <f t="shared" si="11"/>
        <v>29568.75</v>
      </c>
      <c r="M27" s="76">
        <f t="shared" si="11"/>
        <v>29568.75</v>
      </c>
      <c r="N27" s="76">
        <f t="shared" si="11"/>
        <v>30756.25</v>
      </c>
      <c r="O27" s="76">
        <f t="shared" si="11"/>
        <v>30756.25</v>
      </c>
      <c r="P27" s="76">
        <f t="shared" si="11"/>
        <v>31278.75</v>
      </c>
      <c r="Q27" s="76">
        <f t="shared" ref="Q27" si="12">SUM(Q18:Q25)</f>
        <v>338675</v>
      </c>
    </row>
    <row r="28" spans="2:17"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2:17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2:17">
      <c r="B30" s="1"/>
      <c r="C30" s="1"/>
      <c r="D30" s="2" t="s">
        <v>38</v>
      </c>
      <c r="E30" s="2" t="s">
        <v>9</v>
      </c>
      <c r="F30" s="2" t="s">
        <v>39</v>
      </c>
      <c r="G30" s="2" t="s">
        <v>40</v>
      </c>
      <c r="H30" s="2" t="s">
        <v>41</v>
      </c>
      <c r="I30" s="2" t="s">
        <v>42</v>
      </c>
      <c r="J30" s="2" t="s">
        <v>43</v>
      </c>
      <c r="K30" s="2" t="s">
        <v>44</v>
      </c>
      <c r="L30" s="2" t="s">
        <v>45</v>
      </c>
      <c r="M30" s="2" t="s">
        <v>46</v>
      </c>
      <c r="N30" s="2" t="s">
        <v>47</v>
      </c>
      <c r="O30" s="2" t="s">
        <v>48</v>
      </c>
      <c r="P30" s="2" t="s">
        <v>49</v>
      </c>
      <c r="Q30" s="2" t="s">
        <v>136</v>
      </c>
    </row>
    <row r="31" spans="2:17">
      <c r="B31" s="1" t="s">
        <v>128</v>
      </c>
      <c r="C31" s="1"/>
      <c r="D31" s="82">
        <f t="shared" ref="D31:P31" si="13">SUMPRODUCT(D19:D26,$Q$6:$Q$13)/D27</f>
        <v>0.13339999999999999</v>
      </c>
      <c r="E31" s="82">
        <f t="shared" si="13"/>
        <v>0.13339999999999999</v>
      </c>
      <c r="F31" s="82">
        <f t="shared" si="13"/>
        <v>0.13339999999999999</v>
      </c>
      <c r="G31" s="82">
        <f t="shared" si="13"/>
        <v>0.13325429272281278</v>
      </c>
      <c r="H31" s="82">
        <f t="shared" si="13"/>
        <v>0.13311624072547404</v>
      </c>
      <c r="I31" s="82">
        <f t="shared" si="13"/>
        <v>0.13297589359933501</v>
      </c>
      <c r="J31" s="82">
        <f t="shared" si="13"/>
        <v>0.13223868312757203</v>
      </c>
      <c r="K31" s="82">
        <f t="shared" si="13"/>
        <v>0.13204379562043797</v>
      </c>
      <c r="L31" s="82">
        <f t="shared" si="13"/>
        <v>0.13133333333333333</v>
      </c>
      <c r="M31" s="82">
        <f t="shared" si="13"/>
        <v>0.13133333333333333</v>
      </c>
      <c r="N31" s="82">
        <f t="shared" si="13"/>
        <v>0.13077220077220078</v>
      </c>
      <c r="O31" s="82">
        <f t="shared" si="13"/>
        <v>0.13077220077220078</v>
      </c>
      <c r="P31" s="82">
        <f t="shared" si="13"/>
        <v>0.13025816249050873</v>
      </c>
      <c r="Q31" s="58"/>
    </row>
    <row r="32" spans="2:17">
      <c r="B32" s="1" t="s">
        <v>129</v>
      </c>
      <c r="C32" s="1"/>
      <c r="D32" s="82">
        <f t="shared" ref="D32:P32" si="14">SUMPRODUCT($R$6:$R$13,D19:D26)/D27</f>
        <v>3.5358333333333339E-2</v>
      </c>
      <c r="E32" s="82">
        <f t="shared" si="14"/>
        <v>3.5358333333333339E-2</v>
      </c>
      <c r="F32" s="82">
        <f t="shared" si="14"/>
        <v>3.5358333333333339E-2</v>
      </c>
      <c r="G32" s="82">
        <f t="shared" si="14"/>
        <v>3.5310711365494685E-2</v>
      </c>
      <c r="H32" s="82">
        <f t="shared" si="14"/>
        <v>3.5230832646331409E-2</v>
      </c>
      <c r="I32" s="82">
        <f t="shared" si="14"/>
        <v>3.5149625935162097E-2</v>
      </c>
      <c r="J32" s="82">
        <f t="shared" si="14"/>
        <v>3.4794238683127574E-2</v>
      </c>
      <c r="K32" s="82">
        <f t="shared" si="14"/>
        <v>3.4716139497161395E-2</v>
      </c>
      <c r="L32" s="82">
        <f t="shared" si="14"/>
        <v>3.4373493975903613E-2</v>
      </c>
      <c r="M32" s="82">
        <f t="shared" si="14"/>
        <v>3.4373493975903613E-2</v>
      </c>
      <c r="N32" s="82">
        <f t="shared" si="14"/>
        <v>3.4142857142857141E-2</v>
      </c>
      <c r="O32" s="82">
        <f t="shared" si="14"/>
        <v>3.4142857142857141E-2</v>
      </c>
      <c r="P32" s="82">
        <f t="shared" si="14"/>
        <v>3.3906605922551257E-2</v>
      </c>
      <c r="Q32" s="58"/>
    </row>
    <row r="33" spans="2:17">
      <c r="B33" s="1" t="s">
        <v>130</v>
      </c>
      <c r="C33" s="1"/>
      <c r="D33" s="82">
        <f t="shared" ref="D33:P33" si="15">SUMPRODUCT($S$6:$S$13,D19:D26)/D27</f>
        <v>6.467500000000001E-2</v>
      </c>
      <c r="E33" s="82">
        <f t="shared" si="15"/>
        <v>6.467500000000001E-2</v>
      </c>
      <c r="F33" s="82">
        <f t="shared" si="15"/>
        <v>6.467500000000001E-2</v>
      </c>
      <c r="G33" s="82">
        <f t="shared" si="15"/>
        <v>6.4640228945216677E-2</v>
      </c>
      <c r="H33" s="82">
        <f t="shared" si="15"/>
        <v>6.4554822753503716E-2</v>
      </c>
      <c r="I33" s="82">
        <f t="shared" si="15"/>
        <v>6.4467996674979225E-2</v>
      </c>
      <c r="J33" s="82">
        <f t="shared" si="15"/>
        <v>6.3839506172839511E-2</v>
      </c>
      <c r="K33" s="82">
        <f t="shared" si="15"/>
        <v>6.3775344687753449E-2</v>
      </c>
      <c r="L33" s="82">
        <f t="shared" si="15"/>
        <v>6.3168674698795182E-2</v>
      </c>
      <c r="M33" s="82">
        <f t="shared" si="15"/>
        <v>6.3168674698795182E-2</v>
      </c>
      <c r="N33" s="82">
        <f t="shared" si="15"/>
        <v>6.2722007722007728E-2</v>
      </c>
      <c r="O33" s="82">
        <f t="shared" si="15"/>
        <v>6.2722007722007728E-2</v>
      </c>
      <c r="P33" s="82">
        <f t="shared" si="15"/>
        <v>6.2251328777524678E-2</v>
      </c>
      <c r="Q33" s="58"/>
    </row>
    <row r="34" spans="2:17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2:17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2:17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2:17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2:17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2:17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2:17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2:17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2:17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2:17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2:17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2:17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2:17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2:17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2:17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2:14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2:14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2:14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2:14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2:14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2:14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2:14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2:14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2:14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2:14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2:14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2:14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2:14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C00000"/>
  </sheetPr>
  <dimension ref="A2:AC65"/>
  <sheetViews>
    <sheetView showGridLines="0" workbookViewId="0">
      <pane xSplit="2" ySplit="4" topLeftCell="C8" activePane="bottomRight" state="frozen"/>
      <selection pane="topRight" activeCell="C1" sqref="C1"/>
      <selection pane="bottomLeft" activeCell="A5" sqref="A5"/>
      <selection pane="bottomRight" activeCell="C24" sqref="C24"/>
    </sheetView>
  </sheetViews>
  <sheetFormatPr defaultRowHeight="14.15"/>
  <cols>
    <col min="1" max="1" width="6.42578125" customWidth="1"/>
    <col min="2" max="2" width="23.140625" customWidth="1"/>
    <col min="3" max="12" width="9.7109375" customWidth="1"/>
    <col min="13" max="13" width="10.5703125" customWidth="1"/>
    <col min="14" max="14" width="11.5703125" customWidth="1"/>
    <col min="15" max="15" width="11.5703125" style="72" customWidth="1"/>
    <col min="16" max="16" width="2.2109375" customWidth="1"/>
    <col min="17" max="29" width="7.140625" customWidth="1"/>
  </cols>
  <sheetData>
    <row r="2" spans="1:29" ht="18.45">
      <c r="B2" s="29" t="s">
        <v>134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</row>
    <row r="3" spans="1:29" ht="14.6" thickBot="1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73"/>
    </row>
    <row r="4" spans="1:29">
      <c r="B4" s="107" t="s">
        <v>135</v>
      </c>
      <c r="C4" s="107" t="s">
        <v>9</v>
      </c>
      <c r="D4" s="107" t="s">
        <v>39</v>
      </c>
      <c r="E4" s="107" t="s">
        <v>40</v>
      </c>
      <c r="F4" s="107" t="s">
        <v>41</v>
      </c>
      <c r="G4" s="107" t="s">
        <v>42</v>
      </c>
      <c r="H4" s="107" t="s">
        <v>43</v>
      </c>
      <c r="I4" s="107" t="s">
        <v>44</v>
      </c>
      <c r="J4" s="107" t="s">
        <v>45</v>
      </c>
      <c r="K4" s="107" t="s">
        <v>46</v>
      </c>
      <c r="L4" s="107" t="s">
        <v>47</v>
      </c>
      <c r="M4" s="107" t="s">
        <v>48</v>
      </c>
      <c r="N4" s="108" t="s">
        <v>49</v>
      </c>
      <c r="O4" s="109" t="s">
        <v>136</v>
      </c>
      <c r="Q4" s="107" t="s">
        <v>9</v>
      </c>
      <c r="R4" s="107" t="s">
        <v>39</v>
      </c>
      <c r="S4" s="107" t="s">
        <v>40</v>
      </c>
      <c r="T4" s="107" t="s">
        <v>41</v>
      </c>
      <c r="U4" s="107" t="s">
        <v>42</v>
      </c>
      <c r="V4" s="107" t="s">
        <v>43</v>
      </c>
      <c r="W4" s="107" t="s">
        <v>44</v>
      </c>
      <c r="X4" s="107" t="s">
        <v>45</v>
      </c>
      <c r="Y4" s="107" t="s">
        <v>46</v>
      </c>
      <c r="Z4" s="107" t="s">
        <v>47</v>
      </c>
      <c r="AA4" s="107" t="s">
        <v>48</v>
      </c>
      <c r="AB4" s="108" t="s">
        <v>49</v>
      </c>
      <c r="AC4" s="109" t="s">
        <v>136</v>
      </c>
    </row>
    <row r="5" spans="1:29">
      <c r="B5" s="61" t="s">
        <v>137</v>
      </c>
      <c r="C5" s="40">
        <f>'01_Master_Variables'!D6</f>
        <v>29368.463896112862</v>
      </c>
      <c r="D5" s="40">
        <f>'01_Master_Variables'!E6</f>
        <v>28959.998636231943</v>
      </c>
      <c r="E5" s="40">
        <f>'01_Master_Variables'!F6</f>
        <v>29137.949366825247</v>
      </c>
      <c r="F5" s="40">
        <f>'01_Master_Variables'!G6</f>
        <v>28569.856192049312</v>
      </c>
      <c r="G5" s="40">
        <f>'01_Master_Variables'!H6</f>
        <v>28037.177226477568</v>
      </c>
      <c r="H5" s="40">
        <f>'01_Master_Variables'!I6</f>
        <v>28060.276391811993</v>
      </c>
      <c r="I5" s="40">
        <f>'01_Master_Variables'!J6</f>
        <v>28257.162134816426</v>
      </c>
      <c r="J5" s="40">
        <f>'01_Master_Variables'!K6</f>
        <v>28340.976995243411</v>
      </c>
      <c r="K5" s="40">
        <f>'01_Master_Variables'!L6</f>
        <v>28167.487958113546</v>
      </c>
      <c r="L5" s="40">
        <f>'01_Master_Variables'!M6</f>
        <v>29207.577529851711</v>
      </c>
      <c r="M5" s="40">
        <f>'01_Master_Variables'!N6</f>
        <v>29084.735482522694</v>
      </c>
      <c r="N5" s="40">
        <f>'01_Master_Variables'!O6</f>
        <v>29507.551214772822</v>
      </c>
      <c r="O5" s="110">
        <f t="shared" ref="O5:O23" si="0">SUM(C5:N5)</f>
        <v>344699.21302482951</v>
      </c>
      <c r="Q5" s="41">
        <f>+C5/C$5</f>
        <v>1</v>
      </c>
      <c r="R5" s="41">
        <f t="shared" ref="R5:AC8" si="1">+D5/D$5</f>
        <v>1</v>
      </c>
      <c r="S5" s="41">
        <f t="shared" si="1"/>
        <v>1</v>
      </c>
      <c r="T5" s="41">
        <f t="shared" si="1"/>
        <v>1</v>
      </c>
      <c r="U5" s="41">
        <f t="shared" si="1"/>
        <v>1</v>
      </c>
      <c r="V5" s="41">
        <f t="shared" si="1"/>
        <v>1</v>
      </c>
      <c r="W5" s="41">
        <f t="shared" si="1"/>
        <v>1</v>
      </c>
      <c r="X5" s="41">
        <f t="shared" si="1"/>
        <v>1</v>
      </c>
      <c r="Y5" s="41">
        <f t="shared" si="1"/>
        <v>1</v>
      </c>
      <c r="Z5" s="41">
        <f t="shared" si="1"/>
        <v>1</v>
      </c>
      <c r="AA5" s="41">
        <f t="shared" si="1"/>
        <v>1</v>
      </c>
      <c r="AB5" s="41">
        <f t="shared" si="1"/>
        <v>1</v>
      </c>
      <c r="AC5" s="44">
        <f t="shared" si="1"/>
        <v>1</v>
      </c>
    </row>
    <row r="6" spans="1:29">
      <c r="B6" s="61" t="s">
        <v>138</v>
      </c>
      <c r="C6" s="40">
        <f>-C5*(1-'01_Master_Variables'!D7)</f>
        <v>-19332.935062667337</v>
      </c>
      <c r="D6" s="40">
        <f>-D5*(1-'01_Master_Variables'!E7)</f>
        <v>-19064.046898391283</v>
      </c>
      <c r="E6" s="40">
        <f>-E5*(1-'01_Master_Variables'!F7)</f>
        <v>-19181.189896781809</v>
      </c>
      <c r="F6" s="40">
        <f>-F5*(1-'01_Master_Variables'!G7)</f>
        <v>-18807.220441098383</v>
      </c>
      <c r="G6" s="40">
        <f>-G5*(1-'01_Master_Variables'!H7)</f>
        <v>-18456.563767767559</v>
      </c>
      <c r="H6" s="40">
        <f>-H5*(1-'01_Master_Variables'!I7)</f>
        <v>-18471.769692905214</v>
      </c>
      <c r="I6" s="40">
        <f>-I5*(1-'01_Master_Variables'!J7)</f>
        <v>-18601.377400606045</v>
      </c>
      <c r="J6" s="40">
        <f>-J5*(1-'01_Master_Variables'!K7)</f>
        <v>-18656.551796504085</v>
      </c>
      <c r="K6" s="40">
        <f>-K5*(1-'01_Master_Variables'!L7)</f>
        <v>-18542.345881588655</v>
      </c>
      <c r="L6" s="40">
        <f>-L5*(1-'01_Master_Variables'!M7)</f>
        <v>-19227.025346640039</v>
      </c>
      <c r="M6" s="40">
        <f>-M5*(1-'01_Master_Variables'!N7)</f>
        <v>-19146.159785118743</v>
      </c>
      <c r="N6" s="40">
        <f>-N5*(1-'01_Master_Variables'!O7)</f>
        <v>-19424.494706685677</v>
      </c>
      <c r="O6" s="110">
        <f t="shared" si="0"/>
        <v>-226911.68067675486</v>
      </c>
      <c r="Q6" s="41">
        <f t="shared" ref="Q6:Q17" si="2">+C6/C$5</f>
        <v>-0.65828894323704135</v>
      </c>
      <c r="R6" s="41">
        <f t="shared" si="1"/>
        <v>-0.65828894323704135</v>
      </c>
      <c r="S6" s="41">
        <f t="shared" si="1"/>
        <v>-0.65828894323704135</v>
      </c>
      <c r="T6" s="41">
        <f t="shared" si="1"/>
        <v>-0.65828894323704135</v>
      </c>
      <c r="U6" s="41">
        <f t="shared" si="1"/>
        <v>-0.65828894323704124</v>
      </c>
      <c r="V6" s="41">
        <f t="shared" si="1"/>
        <v>-0.65828894323704124</v>
      </c>
      <c r="W6" s="41">
        <f t="shared" si="1"/>
        <v>-0.65828894323704135</v>
      </c>
      <c r="X6" s="41">
        <f t="shared" si="1"/>
        <v>-0.65828894323704135</v>
      </c>
      <c r="Y6" s="41">
        <f t="shared" si="1"/>
        <v>-0.65828894323704135</v>
      </c>
      <c r="Z6" s="41">
        <f t="shared" si="1"/>
        <v>-0.65828894323704146</v>
      </c>
      <c r="AA6" s="41">
        <f t="shared" si="1"/>
        <v>-0.65828894323704135</v>
      </c>
      <c r="AB6" s="41">
        <f t="shared" si="1"/>
        <v>-0.65828894323704135</v>
      </c>
      <c r="AC6" s="44">
        <f t="shared" si="1"/>
        <v>-0.65828894323704146</v>
      </c>
    </row>
    <row r="7" spans="1:29">
      <c r="B7" s="61" t="s">
        <v>52</v>
      </c>
      <c r="C7" s="40">
        <f t="shared" ref="C7:N7" si="3">C5+C6</f>
        <v>10035.528833445525</v>
      </c>
      <c r="D7" s="40">
        <f t="shared" si="3"/>
        <v>9895.9517378406599</v>
      </c>
      <c r="E7" s="40">
        <f t="shared" si="3"/>
        <v>9956.7594700434383</v>
      </c>
      <c r="F7" s="40">
        <f t="shared" si="3"/>
        <v>9762.6357509509289</v>
      </c>
      <c r="G7" s="40">
        <f t="shared" si="3"/>
        <v>9580.6134587100096</v>
      </c>
      <c r="H7" s="40">
        <f t="shared" si="3"/>
        <v>9588.5066989067782</v>
      </c>
      <c r="I7" s="40">
        <f t="shared" si="3"/>
        <v>9655.7847342103814</v>
      </c>
      <c r="J7" s="40">
        <f t="shared" si="3"/>
        <v>9684.4251987393254</v>
      </c>
      <c r="K7" s="40">
        <f t="shared" si="3"/>
        <v>9625.1420765248913</v>
      </c>
      <c r="L7" s="40">
        <f t="shared" si="3"/>
        <v>9980.5521832116719</v>
      </c>
      <c r="M7" s="40">
        <f t="shared" si="3"/>
        <v>9938.5756974039505</v>
      </c>
      <c r="N7" s="40">
        <f t="shared" si="3"/>
        <v>10083.056508087146</v>
      </c>
      <c r="O7" s="110">
        <f t="shared" si="0"/>
        <v>117787.53234807472</v>
      </c>
      <c r="Q7" s="41">
        <f t="shared" si="2"/>
        <v>0.34171105676295871</v>
      </c>
      <c r="R7" s="41">
        <f t="shared" si="1"/>
        <v>0.34171105676295871</v>
      </c>
      <c r="S7" s="41">
        <f t="shared" si="1"/>
        <v>0.34171105676295871</v>
      </c>
      <c r="T7" s="41">
        <f t="shared" si="1"/>
        <v>0.34171105676295865</v>
      </c>
      <c r="U7" s="41">
        <f t="shared" si="1"/>
        <v>0.34171105676295871</v>
      </c>
      <c r="V7" s="41">
        <f t="shared" si="1"/>
        <v>0.34171105676295871</v>
      </c>
      <c r="W7" s="41">
        <f t="shared" si="1"/>
        <v>0.34171105676295865</v>
      </c>
      <c r="X7" s="41">
        <f t="shared" si="1"/>
        <v>0.3417110567629586</v>
      </c>
      <c r="Y7" s="41">
        <f t="shared" si="1"/>
        <v>0.3417110567629586</v>
      </c>
      <c r="Z7" s="41">
        <f t="shared" si="1"/>
        <v>0.3417110567629586</v>
      </c>
      <c r="AA7" s="41">
        <f t="shared" si="1"/>
        <v>0.34171105676295865</v>
      </c>
      <c r="AB7" s="41">
        <f t="shared" si="1"/>
        <v>0.34171105676295865</v>
      </c>
      <c r="AC7" s="44">
        <f t="shared" si="1"/>
        <v>0.34171105676295871</v>
      </c>
    </row>
    <row r="8" spans="1:29">
      <c r="B8" s="61" t="s">
        <v>139</v>
      </c>
      <c r="C8" s="40">
        <f>-C5*'03_CatMan_DDI'!F18</f>
        <v>-308.36887090918498</v>
      </c>
      <c r="D8" s="40">
        <f>-D5*'03_CatMan_DDI'!F18</f>
        <v>-304.0799856804353</v>
      </c>
      <c r="E8" s="40">
        <f>-E5*'03_CatMan_DDI'!F18</f>
        <v>-305.94846835166499</v>
      </c>
      <c r="F8" s="40">
        <f>-F5*'03_CatMan_DDI'!F18</f>
        <v>-299.98349001651769</v>
      </c>
      <c r="G8" s="40">
        <f>-G5*'03_CatMan_DDI'!F18</f>
        <v>-294.39036087801441</v>
      </c>
      <c r="H8" s="40">
        <f>-H5*'03_CatMan_DDI'!F18</f>
        <v>-294.63290211402585</v>
      </c>
      <c r="I8" s="40">
        <f>-I5*'03_CatMan_DDI'!F18</f>
        <v>-296.70020241557239</v>
      </c>
      <c r="J8" s="40">
        <f>-J5*'03_CatMan_DDI'!F18</f>
        <v>-297.58025845005574</v>
      </c>
      <c r="K8" s="40">
        <f>-K5*'03_CatMan_DDI'!F18</f>
        <v>-295.75862356019218</v>
      </c>
      <c r="L8" s="40">
        <f>-L5*'03_CatMan_DDI'!F18</f>
        <v>-306.67956406344291</v>
      </c>
      <c r="M8" s="40">
        <f>-M5*'03_CatMan_DDI'!F18</f>
        <v>-305.38972256648822</v>
      </c>
      <c r="N8" s="40">
        <f>-N5*'03_CatMan_DDI'!F18</f>
        <v>-309.82928775511454</v>
      </c>
      <c r="O8" s="110">
        <f t="shared" si="0"/>
        <v>-3619.3417367607085</v>
      </c>
      <c r="Q8" s="41">
        <f t="shared" si="2"/>
        <v>-1.0499999999999997E-2</v>
      </c>
      <c r="R8" s="41">
        <f t="shared" si="1"/>
        <v>-1.0499999999999997E-2</v>
      </c>
      <c r="S8" s="41">
        <f t="shared" si="1"/>
        <v>-1.0499999999999995E-2</v>
      </c>
      <c r="T8" s="41">
        <f t="shared" si="1"/>
        <v>-1.0499999999999997E-2</v>
      </c>
      <c r="U8" s="41">
        <f t="shared" si="1"/>
        <v>-1.0499999999999997E-2</v>
      </c>
      <c r="V8" s="41">
        <f t="shared" si="1"/>
        <v>-1.0499999999999997E-2</v>
      </c>
      <c r="W8" s="41">
        <f t="shared" si="1"/>
        <v>-1.0499999999999997E-2</v>
      </c>
      <c r="X8" s="41">
        <f t="shared" si="1"/>
        <v>-1.0499999999999997E-2</v>
      </c>
      <c r="Y8" s="41">
        <f t="shared" si="1"/>
        <v>-1.0499999999999997E-2</v>
      </c>
      <c r="Z8" s="41">
        <f t="shared" si="1"/>
        <v>-1.0499999999999999E-2</v>
      </c>
      <c r="AA8" s="41">
        <f t="shared" si="1"/>
        <v>-1.0499999999999997E-2</v>
      </c>
      <c r="AB8" s="41">
        <f t="shared" si="1"/>
        <v>-1.0499999999999997E-2</v>
      </c>
      <c r="AC8" s="44">
        <f t="shared" si="1"/>
        <v>-1.0499999999999995E-2</v>
      </c>
    </row>
    <row r="9" spans="1:29">
      <c r="B9" s="111" t="s">
        <v>140</v>
      </c>
      <c r="C9" s="110">
        <f t="shared" ref="C9:N9" si="4">C7+C8</f>
        <v>9727.1599625363397</v>
      </c>
      <c r="D9" s="110">
        <f t="shared" si="4"/>
        <v>9591.8717521602248</v>
      </c>
      <c r="E9" s="110">
        <f t="shared" si="4"/>
        <v>9650.8110016917726</v>
      </c>
      <c r="F9" s="110">
        <f t="shared" si="4"/>
        <v>9462.652260934412</v>
      </c>
      <c r="G9" s="110">
        <f t="shared" si="4"/>
        <v>9286.2230978319949</v>
      </c>
      <c r="H9" s="110">
        <f t="shared" si="4"/>
        <v>9293.8737967927518</v>
      </c>
      <c r="I9" s="110">
        <f t="shared" si="4"/>
        <v>9359.0845317948097</v>
      </c>
      <c r="J9" s="110">
        <f t="shared" si="4"/>
        <v>9386.8449402892693</v>
      </c>
      <c r="K9" s="110">
        <f t="shared" si="4"/>
        <v>9329.3834529646992</v>
      </c>
      <c r="L9" s="110">
        <f t="shared" si="4"/>
        <v>9673.8726191482292</v>
      </c>
      <c r="M9" s="110">
        <f t="shared" si="4"/>
        <v>9633.1859748374627</v>
      </c>
      <c r="N9" s="110">
        <f t="shared" si="4"/>
        <v>9773.2272203320317</v>
      </c>
      <c r="O9" s="110">
        <f t="shared" si="0"/>
        <v>114168.19061131398</v>
      </c>
      <c r="AC9" s="47"/>
    </row>
    <row r="10" spans="1:29">
      <c r="B10" s="111" t="s">
        <v>265</v>
      </c>
      <c r="C10" s="44">
        <f>+C9/C5</f>
        <v>0.3312110567629587</v>
      </c>
      <c r="D10" s="44">
        <f t="shared" ref="D10:O10" si="5">+D9/D5</f>
        <v>0.3312110567629587</v>
      </c>
      <c r="E10" s="44">
        <f t="shared" si="5"/>
        <v>0.33121105676295864</v>
      </c>
      <c r="F10" s="44">
        <f t="shared" si="5"/>
        <v>0.3312110567629587</v>
      </c>
      <c r="G10" s="44">
        <f t="shared" si="5"/>
        <v>0.3312110567629587</v>
      </c>
      <c r="H10" s="44">
        <f t="shared" si="5"/>
        <v>0.3312110567629587</v>
      </c>
      <c r="I10" s="44">
        <f t="shared" si="5"/>
        <v>0.33121105676295864</v>
      </c>
      <c r="J10" s="44">
        <f t="shared" si="5"/>
        <v>0.33121105676295859</v>
      </c>
      <c r="K10" s="44">
        <f t="shared" si="5"/>
        <v>0.33121105676295864</v>
      </c>
      <c r="L10" s="44">
        <f t="shared" si="5"/>
        <v>0.33121105676295859</v>
      </c>
      <c r="M10" s="44">
        <f t="shared" si="5"/>
        <v>0.3312110567629587</v>
      </c>
      <c r="N10" s="44">
        <f t="shared" si="5"/>
        <v>0.3312110567629587</v>
      </c>
      <c r="O10" s="44">
        <f t="shared" si="5"/>
        <v>0.33121105676295864</v>
      </c>
      <c r="Q10" s="44">
        <f>+C9/C$5</f>
        <v>0.3312110567629587</v>
      </c>
      <c r="R10" s="44">
        <f t="shared" ref="R10:AC10" si="6">+D9/D$5</f>
        <v>0.3312110567629587</v>
      </c>
      <c r="S10" s="44">
        <f t="shared" si="6"/>
        <v>0.33121105676295864</v>
      </c>
      <c r="T10" s="44">
        <f t="shared" si="6"/>
        <v>0.3312110567629587</v>
      </c>
      <c r="U10" s="44">
        <f t="shared" si="6"/>
        <v>0.3312110567629587</v>
      </c>
      <c r="V10" s="44">
        <f t="shared" si="6"/>
        <v>0.3312110567629587</v>
      </c>
      <c r="W10" s="44">
        <f t="shared" si="6"/>
        <v>0.33121105676295864</v>
      </c>
      <c r="X10" s="44">
        <f t="shared" si="6"/>
        <v>0.33121105676295859</v>
      </c>
      <c r="Y10" s="44">
        <f t="shared" si="6"/>
        <v>0.33121105676295864</v>
      </c>
      <c r="Z10" s="44">
        <f t="shared" si="6"/>
        <v>0.33121105676295859</v>
      </c>
      <c r="AA10" s="44">
        <f t="shared" si="6"/>
        <v>0.3312110567629587</v>
      </c>
      <c r="AB10" s="44">
        <f t="shared" si="6"/>
        <v>0.3312110567629587</v>
      </c>
      <c r="AC10" s="44">
        <f t="shared" si="6"/>
        <v>0.33121105676295864</v>
      </c>
    </row>
    <row r="11" spans="1:29">
      <c r="B11" s="61"/>
      <c r="C11" s="112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Q11" s="112"/>
      <c r="R11" s="112"/>
      <c r="S11" s="112"/>
      <c r="T11" s="112"/>
      <c r="U11" s="112"/>
      <c r="V11" s="112"/>
      <c r="W11" s="112"/>
      <c r="X11" s="112"/>
      <c r="Y11" s="112"/>
      <c r="Z11" s="112"/>
      <c r="AA11" s="112"/>
      <c r="AB11" s="112"/>
      <c r="AC11" s="112"/>
    </row>
    <row r="12" spans="1:29">
      <c r="B12" s="61" t="s">
        <v>57</v>
      </c>
      <c r="C12" s="64">
        <f>-'01_Master_Variables'!D13</f>
        <v>-265.4111842105267</v>
      </c>
      <c r="D12" s="40">
        <f>-'01_Master_Variables'!E13</f>
        <v>-302.1503906250008</v>
      </c>
      <c r="E12" s="40">
        <f>-'01_Master_Variables'!F13</f>
        <v>-335.49743269428546</v>
      </c>
      <c r="F12" s="40">
        <f>-'01_Master_Variables'!G13</f>
        <v>-365.71247305057011</v>
      </c>
      <c r="G12" s="40">
        <f>-'01_Master_Variables'!H13</f>
        <v>-393.03733562859696</v>
      </c>
      <c r="H12" s="40">
        <f>-'01_Master_Variables'!I13</f>
        <v>-417.69673299015363</v>
      </c>
      <c r="I12" s="40">
        <f>-'01_Master_Variables'!J13</f>
        <v>-439.89941421417188</v>
      </c>
      <c r="J12" s="40">
        <f>-'01_Master_Variables'!K13</f>
        <v>-459.83923838065118</v>
      </c>
      <c r="K12" s="40">
        <f>-'01_Master_Variables'!L13</f>
        <v>-477.69617836311943</v>
      </c>
      <c r="L12" s="40">
        <f>-'01_Master_Variables'!M13</f>
        <v>-493.63725935016305</v>
      </c>
      <c r="M12" s="40">
        <f>-'01_Master_Variables'!N13</f>
        <v>-507.81743624055946</v>
      </c>
      <c r="N12" s="40">
        <f>-'01_Master_Variables'!O13</f>
        <v>-520.38041379756578</v>
      </c>
      <c r="O12" s="110">
        <f t="shared" si="0"/>
        <v>-4978.7754895453654</v>
      </c>
      <c r="Q12" s="41">
        <f t="shared" si="2"/>
        <v>-9.0372852032501397E-3</v>
      </c>
      <c r="R12" s="41">
        <f t="shared" ref="R12:R17" si="7">+D12/D$5</f>
        <v>-1.0433370333345925E-2</v>
      </c>
      <c r="S12" s="41">
        <f t="shared" ref="S12:S17" si="8">+E12/E$5</f>
        <v>-1.15141058305312E-2</v>
      </c>
      <c r="T12" s="41">
        <f t="shared" ref="T12:T17" si="9">+F12/F$5</f>
        <v>-1.2800641018009184E-2</v>
      </c>
      <c r="U12" s="41">
        <f t="shared" ref="U12:U17" si="10">+G12/G$5</f>
        <v>-1.4018434611078568E-2</v>
      </c>
      <c r="V12" s="41">
        <f t="shared" ref="V12:V17" si="11">+H12/H$5</f>
        <v>-1.4885695606050332E-2</v>
      </c>
      <c r="W12" s="41">
        <f t="shared" ref="W12:W17" si="12">+I12/I$5</f>
        <v>-1.5567713845976052E-2</v>
      </c>
      <c r="X12" s="41">
        <f t="shared" ref="X12:X17" si="13">+J12/J$5</f>
        <v>-1.6225242992075679E-2</v>
      </c>
      <c r="Y12" s="41">
        <f t="shared" ref="Y12:Y17" si="14">+K12/K$5</f>
        <v>-1.6959133135105175E-2</v>
      </c>
      <c r="Z12" s="41">
        <f t="shared" ref="Z12:Z17" si="15">+L12/L$5</f>
        <v>-1.6900999709600677E-2</v>
      </c>
      <c r="AA12" s="41">
        <f t="shared" ref="AA12:AA17" si="16">+M12/M$5</f>
        <v>-1.7459929678429152E-2</v>
      </c>
      <c r="AB12" s="41">
        <f t="shared" ref="AB12:AB17" si="17">+N12/N$5</f>
        <v>-1.7635499808504599E-2</v>
      </c>
      <c r="AC12" s="44">
        <f t="shared" ref="AC12:AC17" si="18">+O12/O$5</f>
        <v>-1.4443826099442624E-2</v>
      </c>
    </row>
    <row r="13" spans="1:29">
      <c r="B13" s="61" t="s">
        <v>141</v>
      </c>
      <c r="C13" s="64">
        <f>-'01_Master_Variables'!D10</f>
        <v>-1020.6711142600285</v>
      </c>
      <c r="D13" s="40">
        <f>-'01_Master_Variables'!E10</f>
        <v>-1007.538956154857</v>
      </c>
      <c r="E13" s="40">
        <f>-'01_Master_Variables'!F10</f>
        <v>-1013.2600721434317</v>
      </c>
      <c r="F13" s="40">
        <f>-'01_Master_Variables'!G10</f>
        <v>-994.99587657438542</v>
      </c>
      <c r="G13" s="40">
        <f>-'01_Master_Variables'!H10</f>
        <v>-977.87024783125378</v>
      </c>
      <c r="H13" s="40">
        <f>-'01_Master_Variables'!I10</f>
        <v>-1015.1878859967555</v>
      </c>
      <c r="I13" s="40">
        <f>-'01_Master_Variables'!J10</f>
        <v>-1021.5177626343482</v>
      </c>
      <c r="J13" s="40">
        <f>-'01_Master_Variables'!K10</f>
        <v>-1060.7874103970757</v>
      </c>
      <c r="K13" s="40">
        <f>-'01_Master_Variables'!L10</f>
        <v>-1055.2097378533506</v>
      </c>
      <c r="L13" s="40">
        <f>-'01_Master_Variables'!M10</f>
        <v>-1125.2236175847324</v>
      </c>
      <c r="M13" s="40">
        <f>-'01_Master_Variables'!N10</f>
        <v>-1121.2742457631048</v>
      </c>
      <c r="N13" s="40">
        <f>-'01_Master_Variables'!O10</f>
        <v>-1171.4427715549461</v>
      </c>
      <c r="O13" s="110">
        <f t="shared" si="0"/>
        <v>-12584.97969874827</v>
      </c>
      <c r="Q13" s="41">
        <f t="shared" si="2"/>
        <v>-3.47539836564323E-2</v>
      </c>
      <c r="R13" s="41">
        <f t="shared" si="7"/>
        <v>-3.4790711450321754E-2</v>
      </c>
      <c r="S13" s="41">
        <f t="shared" si="8"/>
        <v>-3.4774584147540248E-2</v>
      </c>
      <c r="T13" s="41">
        <f t="shared" si="9"/>
        <v>-3.4826772311555503E-2</v>
      </c>
      <c r="U13" s="41">
        <f t="shared" si="10"/>
        <v>-3.4877628369370188E-2</v>
      </c>
      <c r="V13" s="41">
        <f t="shared" si="11"/>
        <v>-3.6178827030121062E-2</v>
      </c>
      <c r="W13" s="41">
        <f t="shared" si="12"/>
        <v>-3.6150755612351745E-2</v>
      </c>
      <c r="X13" s="41">
        <f t="shared" si="13"/>
        <v>-3.7429458080259985E-2</v>
      </c>
      <c r="Y13" s="41">
        <f t="shared" si="14"/>
        <v>-3.7461975289472031E-2</v>
      </c>
      <c r="Z13" s="41">
        <f t="shared" si="15"/>
        <v>-3.8525057972873429E-2</v>
      </c>
      <c r="AA13" s="41">
        <f t="shared" si="16"/>
        <v>-3.8551983614803359E-2</v>
      </c>
      <c r="AB13" s="41">
        <f t="shared" si="17"/>
        <v>-3.9699762377044305E-2</v>
      </c>
      <c r="AC13" s="44">
        <f t="shared" si="18"/>
        <v>-3.6510033162860001E-2</v>
      </c>
    </row>
    <row r="14" spans="1:29">
      <c r="A14" s="59"/>
      <c r="B14" s="61" t="s">
        <v>142</v>
      </c>
      <c r="C14" s="64">
        <f>-C5*'07_PL_TiposPDV'!E31</f>
        <v>-3917.7530837414556</v>
      </c>
      <c r="D14" s="40">
        <f>-D5*'07_PL_TiposPDV'!F31</f>
        <v>-3863.2638180733411</v>
      </c>
      <c r="E14" s="40">
        <f>-E5*'07_PL_TiposPDV'!G31</f>
        <v>-3882.7568342694285</v>
      </c>
      <c r="F14" s="40">
        <f>-F5*'07_PL_TiposPDV'!H31</f>
        <v>-3803.1118543530115</v>
      </c>
      <c r="G14" s="40">
        <f>-G5*'07_PL_TiposPDV'!I31</f>
        <v>-3728.2686956937796</v>
      </c>
      <c r="H14" s="40">
        <f>-H5*'07_PL_TiposPDV'!J31</f>
        <v>-3710.6539982489162</v>
      </c>
      <c r="I14" s="40">
        <f>-I5*'07_PL_TiposPDV'!K31</f>
        <v>-3731.1829417432787</v>
      </c>
      <c r="J14" s="40">
        <f>-J5*'07_PL_TiposPDV'!L31</f>
        <v>-3722.1149787086347</v>
      </c>
      <c r="K14" s="40">
        <f>-K5*'07_PL_TiposPDV'!M31</f>
        <v>-3699.330085165579</v>
      </c>
      <c r="L14" s="40">
        <f>-L5*'07_PL_TiposPDV'!N31</f>
        <v>-3819.5391928033882</v>
      </c>
      <c r="M14" s="40">
        <f>-M5*'07_PL_TiposPDV'!O31</f>
        <v>-3803.4748679268096</v>
      </c>
      <c r="N14" s="40">
        <f>-N5*'07_PL_TiposPDV'!P31</f>
        <v>-3843.5994008308867</v>
      </c>
      <c r="O14" s="110">
        <f t="shared" si="0"/>
        <v>-45525.049751558501</v>
      </c>
      <c r="Q14" s="41">
        <f t="shared" si="2"/>
        <v>-0.13339999999999999</v>
      </c>
      <c r="R14" s="41">
        <f t="shared" si="7"/>
        <v>-0.13339999999999999</v>
      </c>
      <c r="S14" s="41">
        <f t="shared" si="8"/>
        <v>-0.13325429272281278</v>
      </c>
      <c r="T14" s="41">
        <f t="shared" si="9"/>
        <v>-0.13311624072547404</v>
      </c>
      <c r="U14" s="41">
        <f t="shared" si="10"/>
        <v>-0.13297589359933501</v>
      </c>
      <c r="V14" s="41">
        <f t="shared" si="11"/>
        <v>-0.13223868312757203</v>
      </c>
      <c r="W14" s="41">
        <f t="shared" si="12"/>
        <v>-0.13204379562043797</v>
      </c>
      <c r="X14" s="41">
        <f t="shared" si="13"/>
        <v>-0.13133333333333333</v>
      </c>
      <c r="Y14" s="41">
        <f t="shared" si="14"/>
        <v>-0.13133333333333333</v>
      </c>
      <c r="Z14" s="41">
        <f t="shared" si="15"/>
        <v>-0.13077220077220078</v>
      </c>
      <c r="AA14" s="41">
        <f t="shared" si="16"/>
        <v>-0.13077220077220078</v>
      </c>
      <c r="AB14" s="41">
        <f t="shared" si="17"/>
        <v>-0.13025816249050873</v>
      </c>
      <c r="AC14" s="44">
        <f t="shared" si="18"/>
        <v>-0.13207181226804607</v>
      </c>
    </row>
    <row r="15" spans="1:29">
      <c r="A15" s="60"/>
      <c r="B15" s="61" t="s">
        <v>143</v>
      </c>
      <c r="C15" s="64">
        <f>-C5*'07_PL_TiposPDV'!E32</f>
        <v>-1038.4199359267241</v>
      </c>
      <c r="D15" s="40">
        <f>-D5*'07_PL_TiposPDV'!F32</f>
        <v>-1023.977285112768</v>
      </c>
      <c r="E15" s="40">
        <f>-E5*'07_PL_TiposPDV'!G32</f>
        <v>-1028.881719874365</v>
      </c>
      <c r="F15" s="40">
        <f>-F5*'07_PL_TiposPDV'!H32</f>
        <v>-1006.5398222318445</v>
      </c>
      <c r="G15" s="40">
        <f>-G5*'07_PL_TiposPDV'!I32</f>
        <v>-985.49629178853206</v>
      </c>
      <c r="H15" s="40">
        <f>-H5*'07_PL_TiposPDV'!J32</f>
        <v>-976.33595429123625</v>
      </c>
      <c r="I15" s="40">
        <f>-I5*'07_PL_TiposPDV'!K32</f>
        <v>-980.97958246619396</v>
      </c>
      <c r="J15" s="40">
        <f>-J5*'07_PL_TiposPDV'!L32</f>
        <v>-974.17840201722231</v>
      </c>
      <c r="K15" s="40">
        <f>-K5*'07_PL_TiposPDV'!M32</f>
        <v>-968.21497764455353</v>
      </c>
      <c r="L15" s="40">
        <f>-L5*'07_PL_TiposPDV'!N32</f>
        <v>-997.23014709065126</v>
      </c>
      <c r="M15" s="40">
        <f>-M5*'07_PL_TiposPDV'!O32</f>
        <v>-993.03596861756046</v>
      </c>
      <c r="N15" s="40">
        <f>-N5*'07_PL_TiposPDV'!P32</f>
        <v>-1000.5009107788007</v>
      </c>
      <c r="O15" s="110">
        <f t="shared" si="0"/>
        <v>-11973.790997840453</v>
      </c>
      <c r="Q15" s="41">
        <f t="shared" si="2"/>
        <v>-3.5358333333333339E-2</v>
      </c>
      <c r="R15" s="41">
        <f t="shared" si="7"/>
        <v>-3.5358333333333339E-2</v>
      </c>
      <c r="S15" s="41">
        <f t="shared" si="8"/>
        <v>-3.5310711365494685E-2</v>
      </c>
      <c r="T15" s="41">
        <f t="shared" si="9"/>
        <v>-3.5230832646331409E-2</v>
      </c>
      <c r="U15" s="41">
        <f t="shared" si="10"/>
        <v>-3.5149625935162097E-2</v>
      </c>
      <c r="V15" s="41">
        <f t="shared" si="11"/>
        <v>-3.4794238683127574E-2</v>
      </c>
      <c r="W15" s="41">
        <f t="shared" si="12"/>
        <v>-3.4716139497161395E-2</v>
      </c>
      <c r="X15" s="41">
        <f t="shared" si="13"/>
        <v>-3.4373493975903613E-2</v>
      </c>
      <c r="Y15" s="41">
        <f t="shared" si="14"/>
        <v>-3.4373493975903613E-2</v>
      </c>
      <c r="Z15" s="41">
        <f t="shared" si="15"/>
        <v>-3.4142857142857141E-2</v>
      </c>
      <c r="AA15" s="41">
        <f t="shared" si="16"/>
        <v>-3.4142857142857141E-2</v>
      </c>
      <c r="AB15" s="41">
        <f t="shared" si="17"/>
        <v>-3.3906605922551257E-2</v>
      </c>
      <c r="AC15" s="44">
        <f t="shared" si="18"/>
        <v>-3.4736925833880425E-2</v>
      </c>
    </row>
    <row r="16" spans="1:29">
      <c r="A16" s="59"/>
      <c r="B16" s="61" t="s">
        <v>144</v>
      </c>
      <c r="C16" s="64">
        <f>-C5*'07_PL_TiposPDV'!E33</f>
        <v>-1899.4054024810996</v>
      </c>
      <c r="D16" s="40">
        <f>-D5*'07_PL_TiposPDV'!F33</f>
        <v>-1872.9879117983012</v>
      </c>
      <c r="E16" s="40">
        <f>-E5*'07_PL_TiposPDV'!G33</f>
        <v>-1883.4837180657153</v>
      </c>
      <c r="F16" s="40">
        <f>-F5*'07_PL_TiposPDV'!H33</f>
        <v>-1844.322002570834</v>
      </c>
      <c r="G16" s="40">
        <f>-G5*'07_PL_TiposPDV'!I33</f>
        <v>-1807.500648212359</v>
      </c>
      <c r="H16" s="40">
        <f>-H5*'07_PL_TiposPDV'!J33</f>
        <v>-1791.3541879266645</v>
      </c>
      <c r="I16" s="40">
        <f>-I5*'07_PL_TiposPDV'!K33</f>
        <v>-1802.1102550456526</v>
      </c>
      <c r="J16" s="40">
        <f>-J5*'07_PL_TiposPDV'!L33</f>
        <v>-1790.2619564585686</v>
      </c>
      <c r="K16" s="40">
        <f>-K5*'07_PL_TiposPDV'!M33</f>
        <v>-1779.3028839083051</v>
      </c>
      <c r="L16" s="40">
        <f>-L5*'07_PL_TiposPDV'!N33</f>
        <v>-1831.9579033684984</v>
      </c>
      <c r="M16" s="40">
        <f>-M5*'07_PL_TiposPDV'!O33</f>
        <v>-1824.2530035273405</v>
      </c>
      <c r="N16" s="40">
        <f>-N5*'07_PL_TiposPDV'!P33</f>
        <v>-1836.8842720904706</v>
      </c>
      <c r="O16" s="110">
        <f t="shared" si="0"/>
        <v>-21963.824145453811</v>
      </c>
      <c r="Q16" s="41">
        <f t="shared" si="2"/>
        <v>-6.467500000000001E-2</v>
      </c>
      <c r="R16" s="41">
        <f t="shared" si="7"/>
        <v>-6.467500000000001E-2</v>
      </c>
      <c r="S16" s="41">
        <f t="shared" si="8"/>
        <v>-6.4640228945216677E-2</v>
      </c>
      <c r="T16" s="41">
        <f t="shared" si="9"/>
        <v>-6.4554822753503716E-2</v>
      </c>
      <c r="U16" s="41">
        <f t="shared" si="10"/>
        <v>-6.4467996674979225E-2</v>
      </c>
      <c r="V16" s="41">
        <f t="shared" si="11"/>
        <v>-6.3839506172839511E-2</v>
      </c>
      <c r="W16" s="41">
        <f t="shared" si="12"/>
        <v>-6.3775344687753449E-2</v>
      </c>
      <c r="X16" s="41">
        <f t="shared" si="13"/>
        <v>-6.3168674698795182E-2</v>
      </c>
      <c r="Y16" s="41">
        <f t="shared" si="14"/>
        <v>-6.3168674698795182E-2</v>
      </c>
      <c r="Z16" s="41">
        <f t="shared" si="15"/>
        <v>-6.2722007722007728E-2</v>
      </c>
      <c r="AA16" s="41">
        <f t="shared" si="16"/>
        <v>-6.2722007722007728E-2</v>
      </c>
      <c r="AB16" s="41">
        <f t="shared" si="17"/>
        <v>-6.2251328777524678E-2</v>
      </c>
      <c r="AC16" s="44">
        <f t="shared" si="18"/>
        <v>-6.3718811402890277E-2</v>
      </c>
    </row>
    <row r="17" spans="2:29">
      <c r="B17" s="111" t="s">
        <v>145</v>
      </c>
      <c r="C17" s="112">
        <f t="shared" ref="C17:N17" si="19">SUM(C9:C16)</f>
        <v>1585.8304529732666</v>
      </c>
      <c r="D17" s="110">
        <f t="shared" si="19"/>
        <v>1522.2846014527202</v>
      </c>
      <c r="E17" s="110">
        <f t="shared" si="19"/>
        <v>1507.2624357013094</v>
      </c>
      <c r="F17" s="110">
        <f t="shared" si="19"/>
        <v>1448.3014432105294</v>
      </c>
      <c r="G17" s="110">
        <f t="shared" si="19"/>
        <v>1394.3810897342364</v>
      </c>
      <c r="H17" s="110">
        <f t="shared" si="19"/>
        <v>1382.9762483957866</v>
      </c>
      <c r="I17" s="110">
        <f t="shared" si="19"/>
        <v>1383.7257867479275</v>
      </c>
      <c r="J17" s="110">
        <f t="shared" si="19"/>
        <v>1379.9941653838798</v>
      </c>
      <c r="K17" s="110">
        <f t="shared" si="19"/>
        <v>1349.9608010865538</v>
      </c>
      <c r="L17" s="110">
        <f t="shared" si="19"/>
        <v>1406.6157100075582</v>
      </c>
      <c r="M17" s="110">
        <f t="shared" si="19"/>
        <v>1383.6616638188505</v>
      </c>
      <c r="N17" s="110">
        <f t="shared" si="19"/>
        <v>1400.7506623361239</v>
      </c>
      <c r="O17" s="110">
        <f t="shared" si="0"/>
        <v>17145.745060848742</v>
      </c>
      <c r="Q17" s="44">
        <f t="shared" si="2"/>
        <v>5.3997732349330099E-2</v>
      </c>
      <c r="R17" s="44">
        <f t="shared" si="7"/>
        <v>5.2565078492378972E-2</v>
      </c>
      <c r="S17" s="44">
        <f t="shared" si="8"/>
        <v>5.1728500750893254E-2</v>
      </c>
      <c r="T17" s="44">
        <f t="shared" si="9"/>
        <v>5.0693340333073725E-2</v>
      </c>
      <c r="U17" s="44">
        <f t="shared" si="10"/>
        <v>4.9733290854167007E-2</v>
      </c>
      <c r="V17" s="44">
        <f t="shared" si="11"/>
        <v>4.9285909699711299E-2</v>
      </c>
      <c r="W17" s="44">
        <f t="shared" si="12"/>
        <v>4.8969028812804981E-2</v>
      </c>
      <c r="X17" s="44">
        <f t="shared" si="13"/>
        <v>4.8692540331813201E-2</v>
      </c>
      <c r="Y17" s="44">
        <f t="shared" si="14"/>
        <v>4.7926204959917354E-2</v>
      </c>
      <c r="Z17" s="44">
        <f t="shared" si="15"/>
        <v>4.8159273345073604E-2</v>
      </c>
      <c r="AA17" s="44">
        <f t="shared" si="16"/>
        <v>4.7573465629429788E-2</v>
      </c>
      <c r="AB17" s="44">
        <f t="shared" si="17"/>
        <v>4.7470922007070662E-2</v>
      </c>
      <c r="AC17" s="44">
        <f t="shared" si="18"/>
        <v>4.9741178433191528E-2</v>
      </c>
    </row>
    <row r="18" spans="2:29">
      <c r="B18" s="111" t="s">
        <v>146</v>
      </c>
      <c r="C18" s="64">
        <f t="shared" ref="C18:N18" si="20">C17</f>
        <v>1585.8304529732666</v>
      </c>
      <c r="D18" s="40">
        <f t="shared" si="20"/>
        <v>1522.2846014527202</v>
      </c>
      <c r="E18" s="40">
        <f t="shared" si="20"/>
        <v>1507.2624357013094</v>
      </c>
      <c r="F18" s="40">
        <f t="shared" si="20"/>
        <v>1448.3014432105294</v>
      </c>
      <c r="G18" s="40">
        <f t="shared" si="20"/>
        <v>1394.3810897342364</v>
      </c>
      <c r="H18" s="40">
        <f t="shared" si="20"/>
        <v>1382.9762483957866</v>
      </c>
      <c r="I18" s="40">
        <f t="shared" si="20"/>
        <v>1383.7257867479275</v>
      </c>
      <c r="J18" s="40">
        <f t="shared" si="20"/>
        <v>1379.9941653838798</v>
      </c>
      <c r="K18" s="40">
        <f t="shared" si="20"/>
        <v>1349.9608010865538</v>
      </c>
      <c r="L18" s="40">
        <f t="shared" si="20"/>
        <v>1406.6157100075582</v>
      </c>
      <c r="M18" s="40">
        <f t="shared" si="20"/>
        <v>1383.6616638188505</v>
      </c>
      <c r="N18" s="40">
        <f t="shared" si="20"/>
        <v>1400.7506623361239</v>
      </c>
      <c r="O18" s="110">
        <f t="shared" si="0"/>
        <v>17145.745060848742</v>
      </c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</row>
    <row r="19" spans="2:29">
      <c r="B19" s="111" t="s">
        <v>133</v>
      </c>
      <c r="C19" s="44">
        <f>+C18/C5</f>
        <v>5.3997732349330099E-2</v>
      </c>
      <c r="D19" s="44">
        <f t="shared" ref="D19:N19" si="21">+D18/D5</f>
        <v>5.2565078492378972E-2</v>
      </c>
      <c r="E19" s="44">
        <f t="shared" si="21"/>
        <v>5.1728500750893254E-2</v>
      </c>
      <c r="F19" s="44">
        <f t="shared" si="21"/>
        <v>5.0693340333073725E-2</v>
      </c>
      <c r="G19" s="44">
        <f t="shared" si="21"/>
        <v>4.9733290854167007E-2</v>
      </c>
      <c r="H19" s="44">
        <f t="shared" si="21"/>
        <v>4.9285909699711299E-2</v>
      </c>
      <c r="I19" s="44">
        <f t="shared" si="21"/>
        <v>4.8969028812804981E-2</v>
      </c>
      <c r="J19" s="44">
        <f t="shared" si="21"/>
        <v>4.8692540331813201E-2</v>
      </c>
      <c r="K19" s="44">
        <f t="shared" si="21"/>
        <v>4.7926204959917354E-2</v>
      </c>
      <c r="L19" s="44">
        <f t="shared" si="21"/>
        <v>4.8159273345073604E-2</v>
      </c>
      <c r="M19" s="44">
        <f t="shared" si="21"/>
        <v>4.7573465629429788E-2</v>
      </c>
      <c r="N19" s="44">
        <f t="shared" si="21"/>
        <v>4.7470922007070662E-2</v>
      </c>
      <c r="O19" s="110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</row>
    <row r="20" spans="2:29">
      <c r="B20" s="61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110"/>
    </row>
    <row r="21" spans="2:29">
      <c r="B21" s="61" t="s">
        <v>56</v>
      </c>
      <c r="C21" s="40">
        <f>'01_Master_Variables'!D12</f>
        <v>5482.9780642558617</v>
      </c>
      <c r="D21" s="40">
        <f>'01_Master_Variables'!E12</f>
        <v>0</v>
      </c>
      <c r="E21" s="40">
        <f>'01_Master_Variables'!F12</f>
        <v>0</v>
      </c>
      <c r="F21" s="40">
        <f>'01_Master_Variables'!G12</f>
        <v>0</v>
      </c>
      <c r="G21" s="40">
        <f>'01_Master_Variables'!H12</f>
        <v>0</v>
      </c>
      <c r="H21" s="40">
        <f>'01_Master_Variables'!I12</f>
        <v>0</v>
      </c>
      <c r="I21" s="40">
        <f>'01_Master_Variables'!J12</f>
        <v>0</v>
      </c>
      <c r="J21" s="40">
        <f>'01_Master_Variables'!K12</f>
        <v>0</v>
      </c>
      <c r="K21" s="40">
        <f>'01_Master_Variables'!L12</f>
        <v>0</v>
      </c>
      <c r="L21" s="40">
        <f>'01_Master_Variables'!M12</f>
        <v>0</v>
      </c>
      <c r="M21" s="40">
        <f>'01_Master_Variables'!N12</f>
        <v>0</v>
      </c>
      <c r="N21" s="40">
        <f>'01_Master_Variables'!O12</f>
        <v>0</v>
      </c>
      <c r="O21" s="110">
        <f t="shared" si="0"/>
        <v>5482.9780642558617</v>
      </c>
    </row>
    <row r="22" spans="2:29">
      <c r="B22" s="61" t="s">
        <v>27</v>
      </c>
      <c r="C22" s="40">
        <f>-'01_Master_Variables'!D14</f>
        <v>0</v>
      </c>
      <c r="D22" s="40">
        <f>-'01_Master_Variables'!E14</f>
        <v>0</v>
      </c>
      <c r="E22" s="40">
        <f>-'01_Master_Variables'!F14</f>
        <v>-5833.3333333333339</v>
      </c>
      <c r="F22" s="40">
        <f>-'01_Master_Variables'!G14</f>
        <v>0</v>
      </c>
      <c r="G22" s="40">
        <f>-'01_Master_Variables'!H14</f>
        <v>0</v>
      </c>
      <c r="H22" s="40">
        <f>-'01_Master_Variables'!I14</f>
        <v>-4400</v>
      </c>
      <c r="I22" s="40">
        <f>-'01_Master_Variables'!J14</f>
        <v>-5833.3333333333339</v>
      </c>
      <c r="J22" s="40">
        <f>-'01_Master_Variables'!K14</f>
        <v>-4400</v>
      </c>
      <c r="K22" s="40">
        <f>-'01_Master_Variables'!L14</f>
        <v>0</v>
      </c>
      <c r="L22" s="40">
        <f>-'01_Master_Variables'!M14</f>
        <v>-10233.333333333334</v>
      </c>
      <c r="M22" s="40">
        <f>-'01_Master_Variables'!N14</f>
        <v>0</v>
      </c>
      <c r="N22" s="40">
        <f>-'01_Master_Variables'!O14</f>
        <v>-4400</v>
      </c>
      <c r="O22" s="110">
        <f t="shared" si="0"/>
        <v>-35100</v>
      </c>
    </row>
    <row r="23" spans="2:29">
      <c r="B23" s="61" t="s">
        <v>147</v>
      </c>
      <c r="C23" s="40">
        <f t="shared" ref="C23:N23" si="22">C18+C21+C22</f>
        <v>7068.8085172291285</v>
      </c>
      <c r="D23" s="40">
        <f t="shared" si="22"/>
        <v>1522.2846014527202</v>
      </c>
      <c r="E23" s="40">
        <f t="shared" si="22"/>
        <v>-4326.0708976320248</v>
      </c>
      <c r="F23" s="40">
        <f t="shared" si="22"/>
        <v>1448.3014432105294</v>
      </c>
      <c r="G23" s="40">
        <f t="shared" si="22"/>
        <v>1394.3810897342364</v>
      </c>
      <c r="H23" s="40">
        <f t="shared" si="22"/>
        <v>-3017.0237516042134</v>
      </c>
      <c r="I23" s="40">
        <f t="shared" si="22"/>
        <v>-4449.6075465854065</v>
      </c>
      <c r="J23" s="40">
        <f t="shared" si="22"/>
        <v>-3020.0058346161204</v>
      </c>
      <c r="K23" s="40">
        <f t="shared" si="22"/>
        <v>1349.9608010865538</v>
      </c>
      <c r="L23" s="40">
        <f t="shared" si="22"/>
        <v>-8826.717623325776</v>
      </c>
      <c r="M23" s="40">
        <f t="shared" si="22"/>
        <v>1383.6616638188505</v>
      </c>
      <c r="N23" s="40">
        <f t="shared" si="22"/>
        <v>-2999.2493376638758</v>
      </c>
      <c r="O23" s="110">
        <f t="shared" si="0"/>
        <v>-12471.276874895399</v>
      </c>
    </row>
    <row r="24" spans="2:29">
      <c r="B24" s="61" t="s">
        <v>148</v>
      </c>
      <c r="C24" s="40">
        <f>'00_General'!C12+C23</f>
        <v>-17931.191482770872</v>
      </c>
      <c r="D24" s="40">
        <f t="shared" ref="D24:N24" si="23">C24+D23</f>
        <v>-16408.906881318151</v>
      </c>
      <c r="E24" s="40">
        <f t="shared" si="23"/>
        <v>-20734.977778950175</v>
      </c>
      <c r="F24" s="40">
        <f t="shared" si="23"/>
        <v>-19286.676335739645</v>
      </c>
      <c r="G24" s="40">
        <f t="shared" si="23"/>
        <v>-17892.295246005408</v>
      </c>
      <c r="H24" s="40">
        <f t="shared" si="23"/>
        <v>-20909.318997609622</v>
      </c>
      <c r="I24" s="40">
        <f t="shared" si="23"/>
        <v>-25358.926544195027</v>
      </c>
      <c r="J24" s="40">
        <f t="shared" si="23"/>
        <v>-28378.932378811147</v>
      </c>
      <c r="K24" s="40">
        <f t="shared" si="23"/>
        <v>-27028.971577724595</v>
      </c>
      <c r="L24" s="40">
        <f t="shared" si="23"/>
        <v>-35855.689201050373</v>
      </c>
      <c r="M24" s="40">
        <f t="shared" si="23"/>
        <v>-34472.027537231523</v>
      </c>
      <c r="N24" s="40">
        <f t="shared" si="23"/>
        <v>-37471.276874895397</v>
      </c>
      <c r="O24" s="110">
        <f>N24</f>
        <v>-37471.276874895397</v>
      </c>
    </row>
    <row r="25" spans="2:29">
      <c r="B25" s="61" t="s">
        <v>149</v>
      </c>
      <c r="C25" s="113" t="str">
        <f t="shared" ref="C25:N25" si="24">IF(C23&lt;0,"FCF negativo","OK")</f>
        <v>OK</v>
      </c>
      <c r="D25" s="113" t="str">
        <f t="shared" si="24"/>
        <v>OK</v>
      </c>
      <c r="E25" s="113" t="str">
        <f t="shared" si="24"/>
        <v>FCF negativo</v>
      </c>
      <c r="F25" s="113" t="str">
        <f t="shared" si="24"/>
        <v>OK</v>
      </c>
      <c r="G25" s="113" t="str">
        <f t="shared" si="24"/>
        <v>OK</v>
      </c>
      <c r="H25" s="113" t="str">
        <f t="shared" si="24"/>
        <v>FCF negativo</v>
      </c>
      <c r="I25" s="113" t="str">
        <f t="shared" si="24"/>
        <v>FCF negativo</v>
      </c>
      <c r="J25" s="113" t="str">
        <f t="shared" si="24"/>
        <v>FCF negativo</v>
      </c>
      <c r="K25" s="113" t="str">
        <f t="shared" si="24"/>
        <v>OK</v>
      </c>
      <c r="L25" s="113" t="str">
        <f t="shared" si="24"/>
        <v>FCF negativo</v>
      </c>
      <c r="M25" s="113" t="str">
        <f t="shared" si="24"/>
        <v>OK</v>
      </c>
      <c r="N25" s="113" t="str">
        <f t="shared" si="24"/>
        <v>FCF negativo</v>
      </c>
      <c r="O25" s="110"/>
    </row>
    <row r="26" spans="2:29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73"/>
    </row>
    <row r="27" spans="2:29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73"/>
    </row>
    <row r="28" spans="2:29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73"/>
    </row>
    <row r="29" spans="2:29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73"/>
    </row>
    <row r="30" spans="2:29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73"/>
    </row>
    <row r="31" spans="2:29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73"/>
    </row>
    <row r="32" spans="2:29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73"/>
    </row>
    <row r="33" spans="2:1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73"/>
    </row>
    <row r="34" spans="2:1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73"/>
    </row>
    <row r="35" spans="2:1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73"/>
    </row>
    <row r="36" spans="2:1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73"/>
    </row>
    <row r="37" spans="2:1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73"/>
    </row>
    <row r="38" spans="2:1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73"/>
    </row>
    <row r="39" spans="2:1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73"/>
    </row>
    <row r="40" spans="2:1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73"/>
    </row>
    <row r="41" spans="2:1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73"/>
    </row>
    <row r="42" spans="2:1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73"/>
    </row>
    <row r="43" spans="2:1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73"/>
    </row>
    <row r="44" spans="2:1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73"/>
    </row>
    <row r="45" spans="2:1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73"/>
    </row>
    <row r="46" spans="2:1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73"/>
    </row>
    <row r="47" spans="2:1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73"/>
    </row>
    <row r="48" spans="2:1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73"/>
    </row>
    <row r="49" spans="2:1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73"/>
    </row>
    <row r="50" spans="2:1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73"/>
    </row>
    <row r="51" spans="2:1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73"/>
    </row>
    <row r="52" spans="2:1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73"/>
    </row>
    <row r="53" spans="2:1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73"/>
    </row>
    <row r="54" spans="2:1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73"/>
    </row>
    <row r="55" spans="2:1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73"/>
    </row>
    <row r="56" spans="2:1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73"/>
    </row>
    <row r="57" spans="2:1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73"/>
    </row>
    <row r="58" spans="2:1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73"/>
    </row>
    <row r="59" spans="2:1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73"/>
    </row>
    <row r="60" spans="2:1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73"/>
    </row>
    <row r="61" spans="2:1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73"/>
    </row>
    <row r="62" spans="2:1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73"/>
    </row>
    <row r="63" spans="2:1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73"/>
    </row>
    <row r="64" spans="2:1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73"/>
    </row>
    <row r="65" spans="2:1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73"/>
    </row>
  </sheetData>
  <conditionalFormatting sqref="C24:N24">
    <cfRule type="cellIs" dxfId="3" priority="1" operator="lessThan">
      <formula>0</formula>
    </cfRule>
  </conditionalFormatting>
  <conditionalFormatting sqref="C25:N25">
    <cfRule type="containsText" dxfId="2" priority="2" operator="containsText" text="FCF negativo"/>
  </conditionalFormatting>
  <pageMargins left="0.7" right="0.7" top="0.75" bottom="0.75" header="0.3" footer="0.3"/>
  <ignoredErrors>
    <ignoredError sqref="C8:M8" formula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C00000"/>
  </sheetPr>
  <dimension ref="B3:O62"/>
  <sheetViews>
    <sheetView showGridLines="0" tabSelected="1" workbookViewId="0">
      <selection activeCell="H24" sqref="H24"/>
    </sheetView>
  </sheetViews>
  <sheetFormatPr defaultRowHeight="14.15"/>
  <cols>
    <col min="1" max="1" width="2.140625" customWidth="1"/>
    <col min="2" max="2" width="17.92578125" customWidth="1"/>
    <col min="3" max="14" width="9.2109375" customWidth="1"/>
  </cols>
  <sheetData>
    <row r="3" spans="2:15" ht="18.45">
      <c r="B3" s="117" t="s">
        <v>150</v>
      </c>
      <c r="C3" s="117"/>
      <c r="D3" s="117"/>
      <c r="E3" s="117"/>
      <c r="F3" s="117"/>
      <c r="G3" s="117"/>
      <c r="H3" s="117"/>
      <c r="I3" s="117"/>
      <c r="J3" s="8"/>
      <c r="K3" s="8"/>
      <c r="L3" s="8"/>
      <c r="M3" s="8"/>
      <c r="N3" s="8"/>
      <c r="O3" s="8"/>
    </row>
    <row r="4" spans="2:1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2:15">
      <c r="B5" s="2" t="s">
        <v>151</v>
      </c>
      <c r="C5" s="2" t="s">
        <v>152</v>
      </c>
      <c r="D5" s="1"/>
      <c r="E5" s="115" t="s">
        <v>153</v>
      </c>
      <c r="F5" s="115"/>
      <c r="G5" s="115"/>
      <c r="H5" s="115"/>
      <c r="I5" s="115"/>
      <c r="J5" s="1"/>
      <c r="K5" s="1"/>
      <c r="L5" s="1"/>
      <c r="M5" s="1"/>
      <c r="N5" s="1"/>
      <c r="O5" s="1"/>
    </row>
    <row r="6" spans="2:15">
      <c r="B6" s="3" t="s">
        <v>154</v>
      </c>
      <c r="C6" s="9">
        <f>'08_Core_Financiero'!O17</f>
        <v>17145.745060848742</v>
      </c>
      <c r="D6" s="1"/>
      <c r="E6" s="19" t="s">
        <v>155</v>
      </c>
      <c r="G6" s="13" t="str">
        <f>IF(C9&gt;'00_General'!C15,"ROJO","OK")</f>
        <v>OK</v>
      </c>
      <c r="H6" s="3"/>
      <c r="I6" s="3"/>
      <c r="J6" s="1"/>
      <c r="K6" s="1"/>
      <c r="L6" s="1"/>
      <c r="M6" s="1"/>
      <c r="N6" s="1"/>
      <c r="O6" s="1"/>
    </row>
    <row r="7" spans="2:15">
      <c r="B7" s="3" t="s">
        <v>156</v>
      </c>
      <c r="C7" s="9">
        <f>'08_Core_Financiero'!O23</f>
        <v>-12471.276874895399</v>
      </c>
      <c r="D7" s="1"/>
      <c r="E7" s="19" t="s">
        <v>157</v>
      </c>
      <c r="G7" s="13" t="str">
        <f>IF(C8&lt;0,"ROJO","OK")</f>
        <v>ROJO</v>
      </c>
      <c r="H7" s="3"/>
      <c r="I7" s="3"/>
      <c r="J7" s="1"/>
      <c r="K7" s="1"/>
      <c r="L7" s="1"/>
      <c r="M7" s="1"/>
      <c r="N7" s="1"/>
      <c r="O7" s="1"/>
    </row>
    <row r="8" spans="2:15">
      <c r="B8" s="3" t="s">
        <v>148</v>
      </c>
      <c r="C8" s="9">
        <f>'08_Core_Financiero'!N24</f>
        <v>-37471.276874895397</v>
      </c>
      <c r="D8" s="1"/>
      <c r="E8" s="19" t="s">
        <v>158</v>
      </c>
      <c r="G8" s="13">
        <f>COUNTIF('08_Core_Financiero'!C25:N25,"FCF negativo")</f>
        <v>6</v>
      </c>
      <c r="H8" s="3"/>
      <c r="I8" s="3"/>
      <c r="J8" s="1"/>
      <c r="K8" s="1"/>
      <c r="L8" s="1"/>
      <c r="M8" s="1"/>
      <c r="N8" s="1"/>
      <c r="O8" s="1"/>
    </row>
    <row r="9" spans="2:15">
      <c r="B9" s="3" t="s">
        <v>159</v>
      </c>
      <c r="C9" s="9">
        <f>-SUM('08_Core_Financiero'!C22:N22)</f>
        <v>35100</v>
      </c>
      <c r="D9" s="1"/>
      <c r="E9" s="19" t="s">
        <v>160</v>
      </c>
      <c r="G9" s="13" t="str">
        <f>IF('06_Red_CAPEX'!F15/'06_Red_CAPEX'!D15&gt;20%,"ROJO","OK")</f>
        <v>OK</v>
      </c>
      <c r="H9" s="3"/>
      <c r="I9" s="3"/>
      <c r="J9" s="1"/>
      <c r="K9" s="1"/>
      <c r="L9" s="1"/>
      <c r="M9" s="1"/>
      <c r="N9" s="1"/>
      <c r="O9" s="1"/>
    </row>
    <row r="10" spans="2:15">
      <c r="B10" s="3"/>
      <c r="C10" s="10"/>
      <c r="D10" s="1"/>
      <c r="H10" s="3"/>
      <c r="I10" s="3"/>
      <c r="J10" s="1"/>
      <c r="K10" s="1"/>
      <c r="L10" s="1"/>
      <c r="M10" s="1"/>
      <c r="N10" s="1"/>
      <c r="O10" s="1"/>
    </row>
    <row r="11" spans="2:15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2:15">
      <c r="B12" s="2" t="s">
        <v>161</v>
      </c>
      <c r="C12" s="2" t="s">
        <v>9</v>
      </c>
      <c r="D12" s="2" t="s">
        <v>39</v>
      </c>
      <c r="E12" s="2" t="s">
        <v>40</v>
      </c>
      <c r="F12" s="2" t="s">
        <v>41</v>
      </c>
      <c r="G12" s="2" t="s">
        <v>42</v>
      </c>
      <c r="H12" s="2" t="s">
        <v>43</v>
      </c>
      <c r="I12" s="2" t="s">
        <v>44</v>
      </c>
      <c r="J12" s="2" t="s">
        <v>45</v>
      </c>
      <c r="K12" s="2" t="s">
        <v>46</v>
      </c>
      <c r="L12" s="2" t="s">
        <v>47</v>
      </c>
      <c r="M12" s="2" t="s">
        <v>48</v>
      </c>
      <c r="N12" s="2" t="s">
        <v>49</v>
      </c>
      <c r="O12" s="2" t="s">
        <v>74</v>
      </c>
    </row>
    <row r="13" spans="2:15">
      <c r="B13" s="3" t="s">
        <v>162</v>
      </c>
      <c r="C13" s="11">
        <f>'08_Core_Financiero'!C5</f>
        <v>29368.463896112862</v>
      </c>
      <c r="D13" s="11">
        <f>'08_Core_Financiero'!D5</f>
        <v>28959.998636231943</v>
      </c>
      <c r="E13" s="11">
        <f>'08_Core_Financiero'!E5</f>
        <v>29137.949366825247</v>
      </c>
      <c r="F13" s="11">
        <f>'08_Core_Financiero'!F5</f>
        <v>28569.856192049312</v>
      </c>
      <c r="G13" s="11">
        <f>'08_Core_Financiero'!G5</f>
        <v>28037.177226477568</v>
      </c>
      <c r="H13" s="11">
        <f>'08_Core_Financiero'!H5</f>
        <v>28060.276391811993</v>
      </c>
      <c r="I13" s="11">
        <f>'08_Core_Financiero'!I5</f>
        <v>28257.162134816426</v>
      </c>
      <c r="J13" s="11">
        <f>'08_Core_Financiero'!J5</f>
        <v>28340.976995243411</v>
      </c>
      <c r="K13" s="11">
        <f>'08_Core_Financiero'!K5</f>
        <v>28167.487958113546</v>
      </c>
      <c r="L13" s="11">
        <f>'08_Core_Financiero'!L5</f>
        <v>29207.577529851711</v>
      </c>
      <c r="M13" s="11">
        <f>'08_Core_Financiero'!M5</f>
        <v>29084.735482522694</v>
      </c>
      <c r="N13" s="11">
        <f>'08_Core_Financiero'!N5</f>
        <v>29507.551214772822</v>
      </c>
      <c r="O13" s="42">
        <f>SUM(C13:N13)</f>
        <v>344699.21302482951</v>
      </c>
    </row>
    <row r="14" spans="2:15">
      <c r="B14" s="3" t="s">
        <v>132</v>
      </c>
      <c r="C14" s="11">
        <f>'08_Core_Financiero'!C17</f>
        <v>1585.8304529732666</v>
      </c>
      <c r="D14" s="11">
        <f>'08_Core_Financiero'!D17</f>
        <v>1522.2846014527202</v>
      </c>
      <c r="E14" s="11">
        <f>'08_Core_Financiero'!E17</f>
        <v>1507.2624357013094</v>
      </c>
      <c r="F14" s="11">
        <f>'08_Core_Financiero'!F17</f>
        <v>1448.3014432105294</v>
      </c>
      <c r="G14" s="11">
        <f>'08_Core_Financiero'!G17</f>
        <v>1394.3810897342364</v>
      </c>
      <c r="H14" s="11">
        <f>'08_Core_Financiero'!H17</f>
        <v>1382.9762483957866</v>
      </c>
      <c r="I14" s="11">
        <f>'08_Core_Financiero'!I17</f>
        <v>1383.7257867479275</v>
      </c>
      <c r="J14" s="11">
        <f>'08_Core_Financiero'!J17</f>
        <v>1379.9941653838798</v>
      </c>
      <c r="K14" s="11">
        <f>'08_Core_Financiero'!K17</f>
        <v>1349.9608010865538</v>
      </c>
      <c r="L14" s="11">
        <f>'08_Core_Financiero'!L17</f>
        <v>1406.6157100075582</v>
      </c>
      <c r="M14" s="11">
        <f>'08_Core_Financiero'!M17</f>
        <v>1383.6616638188505</v>
      </c>
      <c r="N14" s="11">
        <f>'08_Core_Financiero'!N17</f>
        <v>1400.7506623361239</v>
      </c>
      <c r="O14" s="42">
        <f t="shared" ref="O14:O16" si="0">SUM(C14:N14)</f>
        <v>17145.745060848742</v>
      </c>
    </row>
    <row r="15" spans="2:15">
      <c r="B15" s="3" t="s">
        <v>163</v>
      </c>
      <c r="C15" s="11">
        <f>'08_Core_Financiero'!C23</f>
        <v>7068.8085172291285</v>
      </c>
      <c r="D15" s="11">
        <f>'08_Core_Financiero'!D23</f>
        <v>1522.2846014527202</v>
      </c>
      <c r="E15" s="11">
        <f>'08_Core_Financiero'!E23</f>
        <v>-4326.0708976320248</v>
      </c>
      <c r="F15" s="11">
        <f>'08_Core_Financiero'!F23</f>
        <v>1448.3014432105294</v>
      </c>
      <c r="G15" s="11">
        <f>'08_Core_Financiero'!G23</f>
        <v>1394.3810897342364</v>
      </c>
      <c r="H15" s="11">
        <f>'08_Core_Financiero'!H23</f>
        <v>-3017.0237516042134</v>
      </c>
      <c r="I15" s="11">
        <f>'08_Core_Financiero'!I23</f>
        <v>-4449.6075465854065</v>
      </c>
      <c r="J15" s="11">
        <f>'08_Core_Financiero'!J23</f>
        <v>-3020.0058346161204</v>
      </c>
      <c r="K15" s="11">
        <f>'08_Core_Financiero'!K23</f>
        <v>1349.9608010865538</v>
      </c>
      <c r="L15" s="11">
        <f>'08_Core_Financiero'!L23</f>
        <v>-8826.717623325776</v>
      </c>
      <c r="M15" s="11">
        <f>'08_Core_Financiero'!M23</f>
        <v>1383.6616638188505</v>
      </c>
      <c r="N15" s="11">
        <f>'08_Core_Financiero'!N23</f>
        <v>-2999.2493376638758</v>
      </c>
      <c r="O15" s="42">
        <f t="shared" si="0"/>
        <v>-12471.276874895399</v>
      </c>
    </row>
    <row r="16" spans="2:15">
      <c r="B16" s="3" t="s">
        <v>164</v>
      </c>
      <c r="C16" s="11">
        <f>'08_Core_Financiero'!C24</f>
        <v>-17931.191482770872</v>
      </c>
      <c r="D16" s="11">
        <f>'08_Core_Financiero'!D24</f>
        <v>-16408.906881318151</v>
      </c>
      <c r="E16" s="11">
        <f>'08_Core_Financiero'!E24</f>
        <v>-20734.977778950175</v>
      </c>
      <c r="F16" s="11">
        <f>'08_Core_Financiero'!F24</f>
        <v>-19286.676335739645</v>
      </c>
      <c r="G16" s="11">
        <f>'08_Core_Financiero'!G24</f>
        <v>-17892.295246005408</v>
      </c>
      <c r="H16" s="11">
        <f>'08_Core_Financiero'!H24</f>
        <v>-20909.318997609622</v>
      </c>
      <c r="I16" s="11">
        <f>'08_Core_Financiero'!I24</f>
        <v>-25358.926544195027</v>
      </c>
      <c r="J16" s="11">
        <f>'08_Core_Financiero'!J24</f>
        <v>-28378.932378811147</v>
      </c>
      <c r="K16" s="11">
        <f>'08_Core_Financiero'!K24</f>
        <v>-27028.971577724595</v>
      </c>
      <c r="L16" s="11">
        <f>'08_Core_Financiero'!L24</f>
        <v>-35855.689201050373</v>
      </c>
      <c r="M16" s="11">
        <f>'08_Core_Financiero'!M24</f>
        <v>-34472.027537231523</v>
      </c>
      <c r="N16" s="11">
        <f>'08_Core_Financiero'!N24</f>
        <v>-37471.276874895397</v>
      </c>
      <c r="O16" s="42">
        <f t="shared" si="0"/>
        <v>-301729.19083630189</v>
      </c>
    </row>
    <row r="17" spans="2:15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2:1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2:15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2:15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2:15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2:15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2:15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2:15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2:15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2:1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2:15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2:1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2:1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2:1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2:1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2:1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2:1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2:1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2:1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2:1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2:1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2:1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2:1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2:1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2:1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2:1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2:1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2:1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2:1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2:1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2:1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2:1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2:1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2:1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2:1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2:1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2:1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2:1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2:1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2:1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2:1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2:1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2:1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2:1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2:1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2:1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</sheetData>
  <mergeCells count="2">
    <mergeCell ref="B3:I3"/>
    <mergeCell ref="E5:I5"/>
  </mergeCells>
  <conditionalFormatting sqref="G6:G9">
    <cfRule type="containsText" dxfId="1" priority="1" operator="containsText" text="ROJO"/>
    <cfRule type="containsText" dxfId="0" priority="2" operator="containsText" text="OK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Intro</vt:lpstr>
      <vt:lpstr>00_General</vt:lpstr>
      <vt:lpstr>01_Master_Variables</vt:lpstr>
      <vt:lpstr>02_Pricing</vt:lpstr>
      <vt:lpstr>03_CatMan_DDI</vt:lpstr>
      <vt:lpstr>04_Digital_Logistica</vt:lpstr>
      <vt:lpstr>05_CLV_Marketing</vt:lpstr>
      <vt:lpstr>06_Red_CAPEX</vt:lpstr>
      <vt:lpstr>07_PL_TiposPDV</vt:lpstr>
      <vt:lpstr>08_Core_Financiero</vt:lpstr>
      <vt:lpstr>09_Dashboard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hernan volpellier</dc:creator>
  <cp:lastModifiedBy>hernan volpellier</cp:lastModifiedBy>
  <dcterms:created xsi:type="dcterms:W3CDTF">2026-04-29T22:06:53Z</dcterms:created>
  <dcterms:modified xsi:type="dcterms:W3CDTF">2026-05-13T19:52:07Z</dcterms:modified>
</cp:coreProperties>
</file>